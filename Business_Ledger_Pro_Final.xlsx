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e Excel\"/>
    </mc:Choice>
  </mc:AlternateContent>
  <xr:revisionPtr revIDLastSave="0" documentId="13_ncr:1_{AF5FCC3E-068F-4E8E-953F-F1398404F3F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ড্যাশবোর্ড" sheetId="1" r:id="rId1"/>
    <sheet name="কাস্টমার তালিকা" sheetId="2" r:id="rId2"/>
    <sheet name="খতিয়া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5" i="3" l="1"/>
  <c r="F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H491" i="3" s="1"/>
  <c r="C490" i="3"/>
  <c r="C489" i="3"/>
  <c r="C488" i="3"/>
  <c r="C487" i="3"/>
  <c r="H487" i="3" s="1"/>
  <c r="C486" i="3"/>
  <c r="C485" i="3"/>
  <c r="C484" i="3"/>
  <c r="C483" i="3"/>
  <c r="H483" i="3" s="1"/>
  <c r="C482" i="3"/>
  <c r="C481" i="3"/>
  <c r="C480" i="3"/>
  <c r="C479" i="3"/>
  <c r="H479" i="3" s="1"/>
  <c r="C478" i="3"/>
  <c r="C477" i="3"/>
  <c r="C476" i="3"/>
  <c r="C475" i="3"/>
  <c r="H475" i="3" s="1"/>
  <c r="C474" i="3"/>
  <c r="C473" i="3"/>
  <c r="C472" i="3"/>
  <c r="C471" i="3"/>
  <c r="H471" i="3" s="1"/>
  <c r="C470" i="3"/>
  <c r="C469" i="3"/>
  <c r="C468" i="3"/>
  <c r="C467" i="3"/>
  <c r="H467" i="3" s="1"/>
  <c r="C466" i="3"/>
  <c r="C465" i="3"/>
  <c r="C464" i="3"/>
  <c r="C463" i="3"/>
  <c r="H463" i="3" s="1"/>
  <c r="C462" i="3"/>
  <c r="C461" i="3"/>
  <c r="C460" i="3"/>
  <c r="C459" i="3"/>
  <c r="H459" i="3" s="1"/>
  <c r="C458" i="3"/>
  <c r="C457" i="3"/>
  <c r="C456" i="3"/>
  <c r="C455" i="3"/>
  <c r="H455" i="3" s="1"/>
  <c r="C454" i="3"/>
  <c r="C453" i="3"/>
  <c r="C452" i="3"/>
  <c r="C451" i="3"/>
  <c r="H451" i="3" s="1"/>
  <c r="C450" i="3"/>
  <c r="C449" i="3"/>
  <c r="C448" i="3"/>
  <c r="C447" i="3"/>
  <c r="H447" i="3" s="1"/>
  <c r="C446" i="3"/>
  <c r="C445" i="3"/>
  <c r="C444" i="3"/>
  <c r="C443" i="3"/>
  <c r="H443" i="3" s="1"/>
  <c r="C442" i="3"/>
  <c r="C441" i="3"/>
  <c r="C440" i="3"/>
  <c r="C439" i="3"/>
  <c r="H439" i="3" s="1"/>
  <c r="C438" i="3"/>
  <c r="C437" i="3"/>
  <c r="C436" i="3"/>
  <c r="C435" i="3"/>
  <c r="H435" i="3" s="1"/>
  <c r="C434" i="3"/>
  <c r="C433" i="3"/>
  <c r="C432" i="3"/>
  <c r="C431" i="3"/>
  <c r="H431" i="3" s="1"/>
  <c r="C430" i="3"/>
  <c r="C429" i="3"/>
  <c r="C428" i="3"/>
  <c r="C427" i="3"/>
  <c r="H427" i="3" s="1"/>
  <c r="C426" i="3"/>
  <c r="C425" i="3"/>
  <c r="C424" i="3"/>
  <c r="C423" i="3"/>
  <c r="H423" i="3" s="1"/>
  <c r="C422" i="3"/>
  <c r="C421" i="3"/>
  <c r="C420" i="3"/>
  <c r="C419" i="3"/>
  <c r="H419" i="3" s="1"/>
  <c r="C418" i="3"/>
  <c r="C417" i="3"/>
  <c r="C416" i="3"/>
  <c r="C415" i="3"/>
  <c r="H415" i="3" s="1"/>
  <c r="C414" i="3"/>
  <c r="C413" i="3"/>
  <c r="C412" i="3"/>
  <c r="C411" i="3"/>
  <c r="H411" i="3" s="1"/>
  <c r="C410" i="3"/>
  <c r="C409" i="3"/>
  <c r="C408" i="3"/>
  <c r="C407" i="3"/>
  <c r="H407" i="3" s="1"/>
  <c r="C406" i="3"/>
  <c r="C405" i="3"/>
  <c r="C404" i="3"/>
  <c r="C403" i="3"/>
  <c r="H403" i="3" s="1"/>
  <c r="C402" i="3"/>
  <c r="C401" i="3"/>
  <c r="C400" i="3"/>
  <c r="C399" i="3"/>
  <c r="H399" i="3" s="1"/>
  <c r="C398" i="3"/>
  <c r="C397" i="3"/>
  <c r="C396" i="3"/>
  <c r="C395" i="3"/>
  <c r="H395" i="3" s="1"/>
  <c r="C394" i="3"/>
  <c r="C393" i="3"/>
  <c r="C392" i="3"/>
  <c r="C391" i="3"/>
  <c r="H391" i="3" s="1"/>
  <c r="C390" i="3"/>
  <c r="C389" i="3"/>
  <c r="C388" i="3"/>
  <c r="C387" i="3"/>
  <c r="H387" i="3" s="1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H190" i="3"/>
  <c r="C190" i="3"/>
  <c r="C189" i="3"/>
  <c r="H188" i="3"/>
  <c r="C188" i="3"/>
  <c r="C187" i="3"/>
  <c r="H186" i="3"/>
  <c r="C186" i="3"/>
  <c r="C185" i="3"/>
  <c r="H184" i="3"/>
  <c r="C184" i="3"/>
  <c r="C183" i="3"/>
  <c r="H182" i="3"/>
  <c r="C182" i="3"/>
  <c r="C181" i="3"/>
  <c r="H180" i="3"/>
  <c r="C180" i="3"/>
  <c r="C179" i="3"/>
  <c r="H178" i="3"/>
  <c r="C178" i="3"/>
  <c r="C177" i="3"/>
  <c r="H176" i="3"/>
  <c r="C176" i="3"/>
  <c r="C175" i="3"/>
  <c r="H174" i="3"/>
  <c r="C174" i="3"/>
  <c r="H173" i="3"/>
  <c r="C173" i="3"/>
  <c r="H172" i="3"/>
  <c r="C172" i="3"/>
  <c r="H171" i="3"/>
  <c r="C171" i="3"/>
  <c r="H170" i="3"/>
  <c r="C170" i="3"/>
  <c r="H169" i="3"/>
  <c r="C169" i="3"/>
  <c r="H168" i="3"/>
  <c r="C168" i="3"/>
  <c r="H167" i="3"/>
  <c r="C167" i="3"/>
  <c r="H166" i="3"/>
  <c r="C166" i="3"/>
  <c r="H165" i="3"/>
  <c r="C165" i="3"/>
  <c r="H164" i="3"/>
  <c r="C164" i="3"/>
  <c r="H163" i="3"/>
  <c r="C163" i="3"/>
  <c r="H162" i="3"/>
  <c r="C162" i="3"/>
  <c r="H161" i="3"/>
  <c r="C161" i="3"/>
  <c r="H160" i="3"/>
  <c r="C160" i="3"/>
  <c r="H159" i="3"/>
  <c r="C159" i="3"/>
  <c r="H158" i="3"/>
  <c r="C158" i="3"/>
  <c r="H157" i="3"/>
  <c r="C157" i="3"/>
  <c r="H156" i="3"/>
  <c r="C156" i="3"/>
  <c r="H155" i="3"/>
  <c r="C155" i="3"/>
  <c r="H154" i="3"/>
  <c r="C154" i="3"/>
  <c r="H153" i="3"/>
  <c r="C153" i="3"/>
  <c r="H152" i="3"/>
  <c r="C152" i="3"/>
  <c r="H151" i="3"/>
  <c r="C151" i="3"/>
  <c r="H150" i="3"/>
  <c r="C150" i="3"/>
  <c r="H149" i="3"/>
  <c r="C149" i="3"/>
  <c r="H148" i="3"/>
  <c r="C148" i="3"/>
  <c r="H147" i="3"/>
  <c r="C147" i="3"/>
  <c r="H146" i="3"/>
  <c r="C146" i="3"/>
  <c r="H145" i="3"/>
  <c r="C145" i="3"/>
  <c r="H144" i="3"/>
  <c r="C144" i="3"/>
  <c r="H143" i="3"/>
  <c r="C143" i="3"/>
  <c r="H142" i="3"/>
  <c r="C142" i="3"/>
  <c r="H141" i="3"/>
  <c r="C141" i="3"/>
  <c r="H140" i="3"/>
  <c r="C140" i="3"/>
  <c r="H139" i="3"/>
  <c r="C139" i="3"/>
  <c r="H138" i="3"/>
  <c r="C138" i="3"/>
  <c r="H137" i="3"/>
  <c r="C137" i="3"/>
  <c r="H136" i="3"/>
  <c r="C136" i="3"/>
  <c r="H135" i="3"/>
  <c r="C135" i="3"/>
  <c r="H134" i="3"/>
  <c r="C134" i="3"/>
  <c r="H133" i="3"/>
  <c r="C133" i="3"/>
  <c r="H132" i="3"/>
  <c r="C132" i="3"/>
  <c r="H131" i="3"/>
  <c r="C131" i="3"/>
  <c r="H130" i="3"/>
  <c r="C130" i="3"/>
  <c r="H129" i="3"/>
  <c r="C129" i="3"/>
  <c r="H128" i="3"/>
  <c r="C128" i="3"/>
  <c r="H127" i="3"/>
  <c r="C127" i="3"/>
  <c r="H126" i="3"/>
  <c r="C126" i="3"/>
  <c r="H125" i="3"/>
  <c r="C125" i="3"/>
  <c r="H124" i="3"/>
  <c r="C124" i="3"/>
  <c r="H123" i="3"/>
  <c r="C123" i="3"/>
  <c r="H122" i="3"/>
  <c r="C122" i="3"/>
  <c r="H121" i="3"/>
  <c r="C121" i="3"/>
  <c r="H120" i="3"/>
  <c r="C120" i="3"/>
  <c r="H119" i="3"/>
  <c r="C119" i="3"/>
  <c r="H118" i="3"/>
  <c r="C118" i="3"/>
  <c r="H117" i="3"/>
  <c r="C117" i="3"/>
  <c r="H116" i="3"/>
  <c r="C116" i="3"/>
  <c r="H115" i="3"/>
  <c r="C115" i="3"/>
  <c r="H114" i="3"/>
  <c r="C114" i="3"/>
  <c r="H113" i="3"/>
  <c r="C113" i="3"/>
  <c r="H112" i="3"/>
  <c r="C112" i="3"/>
  <c r="H111" i="3"/>
  <c r="C111" i="3"/>
  <c r="H110" i="3"/>
  <c r="C110" i="3"/>
  <c r="H109" i="3"/>
  <c r="C109" i="3"/>
  <c r="H108" i="3"/>
  <c r="C108" i="3"/>
  <c r="H107" i="3"/>
  <c r="C107" i="3"/>
  <c r="H106" i="3"/>
  <c r="C106" i="3"/>
  <c r="H105" i="3"/>
  <c r="C105" i="3"/>
  <c r="H104" i="3"/>
  <c r="C104" i="3"/>
  <c r="H103" i="3"/>
  <c r="C103" i="3"/>
  <c r="H102" i="3"/>
  <c r="C102" i="3"/>
  <c r="H101" i="3"/>
  <c r="C101" i="3"/>
  <c r="H100" i="3"/>
  <c r="C100" i="3"/>
  <c r="H99" i="3"/>
  <c r="C99" i="3"/>
  <c r="H98" i="3"/>
  <c r="C98" i="3"/>
  <c r="H97" i="3"/>
  <c r="C97" i="3"/>
  <c r="H96" i="3"/>
  <c r="C96" i="3"/>
  <c r="H95" i="3"/>
  <c r="C95" i="3"/>
  <c r="H94" i="3"/>
  <c r="C94" i="3"/>
  <c r="H93" i="3"/>
  <c r="C93" i="3"/>
  <c r="H92" i="3"/>
  <c r="C92" i="3"/>
  <c r="H91" i="3"/>
  <c r="C91" i="3"/>
  <c r="H90" i="3"/>
  <c r="C90" i="3"/>
  <c r="H89" i="3"/>
  <c r="C89" i="3"/>
  <c r="H88" i="3"/>
  <c r="C88" i="3"/>
  <c r="H87" i="3"/>
  <c r="C87" i="3"/>
  <c r="H86" i="3"/>
  <c r="C86" i="3"/>
  <c r="H85" i="3"/>
  <c r="C85" i="3"/>
  <c r="H84" i="3"/>
  <c r="C84" i="3"/>
  <c r="H83" i="3"/>
  <c r="C83" i="3"/>
  <c r="H82" i="3"/>
  <c r="C82" i="3"/>
  <c r="H81" i="3"/>
  <c r="C81" i="3"/>
  <c r="H80" i="3"/>
  <c r="C80" i="3"/>
  <c r="H79" i="3"/>
  <c r="C79" i="3"/>
  <c r="H78" i="3"/>
  <c r="C78" i="3"/>
  <c r="H77" i="3"/>
  <c r="C77" i="3"/>
  <c r="H76" i="3"/>
  <c r="C76" i="3"/>
  <c r="H75" i="3"/>
  <c r="C75" i="3"/>
  <c r="H74" i="3"/>
  <c r="C74" i="3"/>
  <c r="H73" i="3"/>
  <c r="C73" i="3"/>
  <c r="H72" i="3"/>
  <c r="C72" i="3"/>
  <c r="H71" i="3"/>
  <c r="C71" i="3"/>
  <c r="H70" i="3"/>
  <c r="C70" i="3"/>
  <c r="H69" i="3"/>
  <c r="C69" i="3"/>
  <c r="H68" i="3"/>
  <c r="C68" i="3"/>
  <c r="H67" i="3"/>
  <c r="C67" i="3"/>
  <c r="H66" i="3"/>
  <c r="C66" i="3"/>
  <c r="H65" i="3"/>
  <c r="C65" i="3"/>
  <c r="H64" i="3"/>
  <c r="C64" i="3"/>
  <c r="H63" i="3"/>
  <c r="C63" i="3"/>
  <c r="H62" i="3"/>
  <c r="C62" i="3"/>
  <c r="H61" i="3"/>
  <c r="C61" i="3"/>
  <c r="H60" i="3"/>
  <c r="C60" i="3"/>
  <c r="H59" i="3"/>
  <c r="C59" i="3"/>
  <c r="H58" i="3"/>
  <c r="C58" i="3"/>
  <c r="H57" i="3"/>
  <c r="C57" i="3"/>
  <c r="H56" i="3"/>
  <c r="C56" i="3"/>
  <c r="H55" i="3"/>
  <c r="C55" i="3"/>
  <c r="H54" i="3"/>
  <c r="C54" i="3"/>
  <c r="H53" i="3"/>
  <c r="C53" i="3"/>
  <c r="H52" i="3"/>
  <c r="C52" i="3"/>
  <c r="H51" i="3"/>
  <c r="C51" i="3"/>
  <c r="H50" i="3"/>
  <c r="C50" i="3"/>
  <c r="H49" i="3"/>
  <c r="C49" i="3"/>
  <c r="H48" i="3"/>
  <c r="C48" i="3"/>
  <c r="H47" i="3"/>
  <c r="C47" i="3"/>
  <c r="H46" i="3"/>
  <c r="C46" i="3"/>
  <c r="H45" i="3"/>
  <c r="C45" i="3"/>
  <c r="H44" i="3"/>
  <c r="C44" i="3"/>
  <c r="H43" i="3"/>
  <c r="C43" i="3"/>
  <c r="H42" i="3"/>
  <c r="C42" i="3"/>
  <c r="H41" i="3"/>
  <c r="C41" i="3"/>
  <c r="H40" i="3"/>
  <c r="C40" i="3"/>
  <c r="H39" i="3"/>
  <c r="C39" i="3"/>
  <c r="H38" i="3"/>
  <c r="C38" i="3"/>
  <c r="H37" i="3"/>
  <c r="C37" i="3"/>
  <c r="H36" i="3"/>
  <c r="C36" i="3"/>
  <c r="H35" i="3"/>
  <c r="C35" i="3"/>
  <c r="H34" i="3"/>
  <c r="C34" i="3"/>
  <c r="H33" i="3"/>
  <c r="C33" i="3"/>
  <c r="H32" i="3"/>
  <c r="C32" i="3"/>
  <c r="H31" i="3"/>
  <c r="C31" i="3"/>
  <c r="H30" i="3"/>
  <c r="C30" i="3"/>
  <c r="H29" i="3"/>
  <c r="C29" i="3"/>
  <c r="H28" i="3"/>
  <c r="C28" i="3"/>
  <c r="H27" i="3"/>
  <c r="C27" i="3"/>
  <c r="H26" i="3"/>
  <c r="C26" i="3"/>
  <c r="H25" i="3"/>
  <c r="C25" i="3"/>
  <c r="H24" i="3"/>
  <c r="C24" i="3"/>
  <c r="H23" i="3"/>
  <c r="C23" i="3"/>
  <c r="H22" i="3"/>
  <c r="C22" i="3"/>
  <c r="H21" i="3"/>
  <c r="C21" i="3"/>
  <c r="H20" i="3"/>
  <c r="C20" i="3"/>
  <c r="H19" i="3"/>
  <c r="C19" i="3"/>
  <c r="H18" i="3"/>
  <c r="C18" i="3"/>
  <c r="H17" i="3"/>
  <c r="C17" i="3"/>
  <c r="H16" i="3"/>
  <c r="C16" i="3"/>
  <c r="H15" i="3"/>
  <c r="C15" i="3"/>
  <c r="H14" i="3"/>
  <c r="C14" i="3"/>
  <c r="H13" i="3"/>
  <c r="C13" i="3"/>
  <c r="H12" i="3"/>
  <c r="C12" i="3"/>
  <c r="H11" i="3"/>
  <c r="C11" i="3"/>
  <c r="H10" i="3"/>
  <c r="C10" i="3"/>
  <c r="H9" i="3"/>
  <c r="C9" i="3"/>
  <c r="H8" i="3"/>
  <c r="C8" i="3"/>
  <c r="H7" i="3"/>
  <c r="C7" i="3"/>
  <c r="H6" i="3"/>
  <c r="C6" i="3"/>
  <c r="H5" i="3"/>
  <c r="C5" i="3"/>
  <c r="H4" i="3"/>
  <c r="C4" i="3"/>
  <c r="H3" i="3"/>
  <c r="C3" i="3"/>
  <c r="H2" i="3"/>
  <c r="C2" i="3"/>
  <c r="H633" i="3" s="1"/>
  <c r="E305" i="2"/>
  <c r="F305" i="2" s="1"/>
  <c r="F304" i="2"/>
  <c r="E304" i="2"/>
  <c r="E303" i="2"/>
  <c r="F303" i="2" s="1"/>
  <c r="F302" i="2"/>
  <c r="E302" i="2"/>
  <c r="E301" i="2"/>
  <c r="F301" i="2" s="1"/>
  <c r="F300" i="2"/>
  <c r="E300" i="2"/>
  <c r="E299" i="2"/>
  <c r="F299" i="2" s="1"/>
  <c r="F298" i="2"/>
  <c r="E298" i="2"/>
  <c r="E297" i="2"/>
  <c r="F297" i="2" s="1"/>
  <c r="F296" i="2"/>
  <c r="E296" i="2"/>
  <c r="E295" i="2"/>
  <c r="F295" i="2" s="1"/>
  <c r="F294" i="2"/>
  <c r="E294" i="2"/>
  <c r="E293" i="2"/>
  <c r="F293" i="2" s="1"/>
  <c r="F292" i="2"/>
  <c r="E292" i="2"/>
  <c r="E291" i="2"/>
  <c r="F291" i="2" s="1"/>
  <c r="F290" i="2"/>
  <c r="E290" i="2"/>
  <c r="E289" i="2"/>
  <c r="F289" i="2" s="1"/>
  <c r="F288" i="2"/>
  <c r="E288" i="2"/>
  <c r="E287" i="2"/>
  <c r="F287" i="2" s="1"/>
  <c r="F286" i="2"/>
  <c r="E286" i="2"/>
  <c r="E285" i="2"/>
  <c r="F285" i="2" s="1"/>
  <c r="F284" i="2"/>
  <c r="E284" i="2"/>
  <c r="E283" i="2"/>
  <c r="F283" i="2" s="1"/>
  <c r="F282" i="2"/>
  <c r="E282" i="2"/>
  <c r="E281" i="2"/>
  <c r="F281" i="2" s="1"/>
  <c r="F280" i="2"/>
  <c r="E280" i="2"/>
  <c r="E279" i="2"/>
  <c r="F279" i="2" s="1"/>
  <c r="F278" i="2"/>
  <c r="E278" i="2"/>
  <c r="E277" i="2"/>
  <c r="F277" i="2" s="1"/>
  <c r="F276" i="2"/>
  <c r="E276" i="2"/>
  <c r="E275" i="2"/>
  <c r="F275" i="2" s="1"/>
  <c r="F274" i="2"/>
  <c r="E274" i="2"/>
  <c r="E273" i="2"/>
  <c r="F273" i="2" s="1"/>
  <c r="F272" i="2"/>
  <c r="E272" i="2"/>
  <c r="E271" i="2"/>
  <c r="F271" i="2" s="1"/>
  <c r="F270" i="2"/>
  <c r="E270" i="2"/>
  <c r="E269" i="2"/>
  <c r="F269" i="2" s="1"/>
  <c r="F268" i="2"/>
  <c r="E268" i="2"/>
  <c r="E267" i="2"/>
  <c r="F267" i="2" s="1"/>
  <c r="F266" i="2"/>
  <c r="E266" i="2"/>
  <c r="E265" i="2"/>
  <c r="F265" i="2" s="1"/>
  <c r="F264" i="2"/>
  <c r="E264" i="2"/>
  <c r="E263" i="2"/>
  <c r="F263" i="2" s="1"/>
  <c r="F262" i="2"/>
  <c r="E262" i="2"/>
  <c r="E261" i="2"/>
  <c r="F261" i="2" s="1"/>
  <c r="F260" i="2"/>
  <c r="E260" i="2"/>
  <c r="E259" i="2"/>
  <c r="F259" i="2" s="1"/>
  <c r="F258" i="2"/>
  <c r="E258" i="2"/>
  <c r="E257" i="2"/>
  <c r="F257" i="2" s="1"/>
  <c r="F256" i="2"/>
  <c r="E256" i="2"/>
  <c r="E255" i="2"/>
  <c r="F255" i="2" s="1"/>
  <c r="F254" i="2"/>
  <c r="E254" i="2"/>
  <c r="E253" i="2"/>
  <c r="F253" i="2" s="1"/>
  <c r="F252" i="2"/>
  <c r="E252" i="2"/>
  <c r="E251" i="2"/>
  <c r="F251" i="2" s="1"/>
  <c r="F250" i="2"/>
  <c r="E250" i="2"/>
  <c r="E249" i="2"/>
  <c r="F249" i="2" s="1"/>
  <c r="F248" i="2"/>
  <c r="E248" i="2"/>
  <c r="E247" i="2"/>
  <c r="F247" i="2" s="1"/>
  <c r="F246" i="2"/>
  <c r="E246" i="2"/>
  <c r="E245" i="2"/>
  <c r="F245" i="2" s="1"/>
  <c r="F244" i="2"/>
  <c r="E244" i="2"/>
  <c r="E243" i="2"/>
  <c r="F243" i="2" s="1"/>
  <c r="F242" i="2"/>
  <c r="E242" i="2"/>
  <c r="E241" i="2"/>
  <c r="F241" i="2" s="1"/>
  <c r="F240" i="2"/>
  <c r="E240" i="2"/>
  <c r="E239" i="2"/>
  <c r="F239" i="2" s="1"/>
  <c r="F238" i="2"/>
  <c r="E238" i="2"/>
  <c r="E237" i="2"/>
  <c r="F237" i="2" s="1"/>
  <c r="F236" i="2"/>
  <c r="E236" i="2"/>
  <c r="E235" i="2"/>
  <c r="F235" i="2" s="1"/>
  <c r="F234" i="2"/>
  <c r="E234" i="2"/>
  <c r="E233" i="2"/>
  <c r="F233" i="2" s="1"/>
  <c r="F232" i="2"/>
  <c r="E232" i="2"/>
  <c r="E231" i="2"/>
  <c r="F231" i="2" s="1"/>
  <c r="F230" i="2"/>
  <c r="E230" i="2"/>
  <c r="E229" i="2"/>
  <c r="F229" i="2" s="1"/>
  <c r="F228" i="2"/>
  <c r="E228" i="2"/>
  <c r="E227" i="2"/>
  <c r="F227" i="2" s="1"/>
  <c r="F226" i="2"/>
  <c r="E226" i="2"/>
  <c r="E225" i="2"/>
  <c r="F225" i="2" s="1"/>
  <c r="F224" i="2"/>
  <c r="E224" i="2"/>
  <c r="E223" i="2"/>
  <c r="F223" i="2" s="1"/>
  <c r="F222" i="2"/>
  <c r="E222" i="2"/>
  <c r="E221" i="2"/>
  <c r="F221" i="2" s="1"/>
  <c r="F220" i="2"/>
  <c r="E220" i="2"/>
  <c r="E219" i="2"/>
  <c r="F219" i="2" s="1"/>
  <c r="E218" i="2"/>
  <c r="F218" i="2" s="1"/>
  <c r="E217" i="2"/>
  <c r="F217" i="2" s="1"/>
  <c r="E216" i="2"/>
  <c r="F216" i="2" s="1"/>
  <c r="E215" i="2"/>
  <c r="F215" i="2" s="1"/>
  <c r="E214" i="2"/>
  <c r="F214" i="2" s="1"/>
  <c r="E213" i="2"/>
  <c r="F213" i="2" s="1"/>
  <c r="E212" i="2"/>
  <c r="F212" i="2" s="1"/>
  <c r="E211" i="2"/>
  <c r="F211" i="2" s="1"/>
  <c r="E210" i="2"/>
  <c r="F210" i="2" s="1"/>
  <c r="E209" i="2"/>
  <c r="F209" i="2" s="1"/>
  <c r="E208" i="2"/>
  <c r="F208" i="2" s="1"/>
  <c r="E207" i="2"/>
  <c r="F207" i="2" s="1"/>
  <c r="E206" i="2"/>
  <c r="F206" i="2" s="1"/>
  <c r="E205" i="2"/>
  <c r="F205" i="2" s="1"/>
  <c r="E204" i="2"/>
  <c r="F204" i="2" s="1"/>
  <c r="E203" i="2"/>
  <c r="F203" i="2" s="1"/>
  <c r="E202" i="2"/>
  <c r="F202" i="2" s="1"/>
  <c r="E201" i="2"/>
  <c r="F201" i="2" s="1"/>
  <c r="E200" i="2"/>
  <c r="F200" i="2" s="1"/>
  <c r="E199" i="2"/>
  <c r="F199" i="2" s="1"/>
  <c r="E198" i="2"/>
  <c r="F198" i="2" s="1"/>
  <c r="E197" i="2"/>
  <c r="F197" i="2" s="1"/>
  <c r="E196" i="2"/>
  <c r="F196" i="2" s="1"/>
  <c r="E195" i="2"/>
  <c r="F195" i="2" s="1"/>
  <c r="E194" i="2"/>
  <c r="F194" i="2" s="1"/>
  <c r="E193" i="2"/>
  <c r="F193" i="2" s="1"/>
  <c r="E192" i="2"/>
  <c r="F192" i="2" s="1"/>
  <c r="E191" i="2"/>
  <c r="F191" i="2" s="1"/>
  <c r="E190" i="2"/>
  <c r="F190" i="2" s="1"/>
  <c r="E189" i="2"/>
  <c r="F189" i="2" s="1"/>
  <c r="E188" i="2"/>
  <c r="F188" i="2" s="1"/>
  <c r="E187" i="2"/>
  <c r="F187" i="2" s="1"/>
  <c r="E186" i="2"/>
  <c r="F186" i="2" s="1"/>
  <c r="E185" i="2"/>
  <c r="F185" i="2" s="1"/>
  <c r="E184" i="2"/>
  <c r="F184" i="2" s="1"/>
  <c r="E183" i="2"/>
  <c r="F183" i="2" s="1"/>
  <c r="E182" i="2"/>
  <c r="F182" i="2" s="1"/>
  <c r="E181" i="2"/>
  <c r="F181" i="2" s="1"/>
  <c r="E180" i="2"/>
  <c r="F180" i="2" s="1"/>
  <c r="E179" i="2"/>
  <c r="F179" i="2" s="1"/>
  <c r="E178" i="2"/>
  <c r="F178" i="2" s="1"/>
  <c r="E177" i="2"/>
  <c r="F177" i="2" s="1"/>
  <c r="E176" i="2"/>
  <c r="F176" i="2" s="1"/>
  <c r="E175" i="2"/>
  <c r="F175" i="2" s="1"/>
  <c r="E174" i="2"/>
  <c r="F174" i="2" s="1"/>
  <c r="E173" i="2"/>
  <c r="F173" i="2" s="1"/>
  <c r="E172" i="2"/>
  <c r="F172" i="2" s="1"/>
  <c r="E171" i="2"/>
  <c r="F171" i="2" s="1"/>
  <c r="E170" i="2"/>
  <c r="F170" i="2" s="1"/>
  <c r="E169" i="2"/>
  <c r="F169" i="2" s="1"/>
  <c r="E168" i="2"/>
  <c r="F168" i="2" s="1"/>
  <c r="E167" i="2"/>
  <c r="F167" i="2" s="1"/>
  <c r="E166" i="2"/>
  <c r="F166" i="2" s="1"/>
  <c r="E165" i="2"/>
  <c r="F165" i="2" s="1"/>
  <c r="E164" i="2"/>
  <c r="F164" i="2" s="1"/>
  <c r="E163" i="2"/>
  <c r="F163" i="2" s="1"/>
  <c r="E162" i="2"/>
  <c r="F162" i="2" s="1"/>
  <c r="E161" i="2"/>
  <c r="F161" i="2" s="1"/>
  <c r="E160" i="2"/>
  <c r="F160" i="2" s="1"/>
  <c r="E159" i="2"/>
  <c r="F159" i="2" s="1"/>
  <c r="E158" i="2"/>
  <c r="F158" i="2" s="1"/>
  <c r="E157" i="2"/>
  <c r="F157" i="2" s="1"/>
  <c r="E156" i="2"/>
  <c r="F156" i="2" s="1"/>
  <c r="E155" i="2"/>
  <c r="F155" i="2" s="1"/>
  <c r="E154" i="2"/>
  <c r="F154" i="2" s="1"/>
  <c r="E153" i="2"/>
  <c r="F153" i="2" s="1"/>
  <c r="E152" i="2"/>
  <c r="F152" i="2" s="1"/>
  <c r="E151" i="2"/>
  <c r="F151" i="2" s="1"/>
  <c r="E150" i="2"/>
  <c r="F150" i="2" s="1"/>
  <c r="E149" i="2"/>
  <c r="F149" i="2" s="1"/>
  <c r="E148" i="2"/>
  <c r="F148" i="2" s="1"/>
  <c r="E147" i="2"/>
  <c r="F147" i="2" s="1"/>
  <c r="E146" i="2"/>
  <c r="F146" i="2" s="1"/>
  <c r="E145" i="2"/>
  <c r="F145" i="2" s="1"/>
  <c r="E144" i="2"/>
  <c r="F144" i="2" s="1"/>
  <c r="E143" i="2"/>
  <c r="F143" i="2" s="1"/>
  <c r="E142" i="2"/>
  <c r="F142" i="2" s="1"/>
  <c r="E141" i="2"/>
  <c r="F141" i="2" s="1"/>
  <c r="E140" i="2"/>
  <c r="F140" i="2" s="1"/>
  <c r="E139" i="2"/>
  <c r="F139" i="2" s="1"/>
  <c r="E138" i="2"/>
  <c r="F138" i="2" s="1"/>
  <c r="E137" i="2"/>
  <c r="F137" i="2" s="1"/>
  <c r="E136" i="2"/>
  <c r="F136" i="2" s="1"/>
  <c r="E135" i="2"/>
  <c r="F135" i="2" s="1"/>
  <c r="E134" i="2"/>
  <c r="F134" i="2" s="1"/>
  <c r="E133" i="2"/>
  <c r="F133" i="2" s="1"/>
  <c r="E132" i="2"/>
  <c r="F132" i="2" s="1"/>
  <c r="E131" i="2"/>
  <c r="F131" i="2" s="1"/>
  <c r="E130" i="2"/>
  <c r="F130" i="2" s="1"/>
  <c r="E129" i="2"/>
  <c r="F129" i="2" s="1"/>
  <c r="E128" i="2"/>
  <c r="F128" i="2" s="1"/>
  <c r="E127" i="2"/>
  <c r="F127" i="2" s="1"/>
  <c r="E126" i="2"/>
  <c r="F126" i="2" s="1"/>
  <c r="E125" i="2"/>
  <c r="F125" i="2" s="1"/>
  <c r="E124" i="2"/>
  <c r="F124" i="2" s="1"/>
  <c r="E123" i="2"/>
  <c r="F123" i="2" s="1"/>
  <c r="E122" i="2"/>
  <c r="F122" i="2" s="1"/>
  <c r="E121" i="2"/>
  <c r="F121" i="2" s="1"/>
  <c r="E120" i="2"/>
  <c r="F120" i="2" s="1"/>
  <c r="E119" i="2"/>
  <c r="F119" i="2" s="1"/>
  <c r="E118" i="2"/>
  <c r="F118" i="2" s="1"/>
  <c r="E117" i="2"/>
  <c r="F117" i="2" s="1"/>
  <c r="E116" i="2"/>
  <c r="F116" i="2" s="1"/>
  <c r="E115" i="2"/>
  <c r="F115" i="2" s="1"/>
  <c r="E114" i="2"/>
  <c r="F114" i="2" s="1"/>
  <c r="E113" i="2"/>
  <c r="F113" i="2" s="1"/>
  <c r="E112" i="2"/>
  <c r="F112" i="2" s="1"/>
  <c r="E111" i="2"/>
  <c r="F111" i="2" s="1"/>
  <c r="E110" i="2"/>
  <c r="F110" i="2" s="1"/>
  <c r="E109" i="2"/>
  <c r="F109" i="2" s="1"/>
  <c r="E108" i="2"/>
  <c r="F108" i="2" s="1"/>
  <c r="E107" i="2"/>
  <c r="F107" i="2" s="1"/>
  <c r="E106" i="2"/>
  <c r="F106" i="2" s="1"/>
  <c r="E105" i="2"/>
  <c r="F105" i="2" s="1"/>
  <c r="E104" i="2"/>
  <c r="F104" i="2" s="1"/>
  <c r="E103" i="2"/>
  <c r="F103" i="2" s="1"/>
  <c r="E102" i="2"/>
  <c r="F102" i="2" s="1"/>
  <c r="E101" i="2"/>
  <c r="F101" i="2" s="1"/>
  <c r="E100" i="2"/>
  <c r="F100" i="2" s="1"/>
  <c r="E99" i="2"/>
  <c r="F99" i="2" s="1"/>
  <c r="E98" i="2"/>
  <c r="F98" i="2" s="1"/>
  <c r="E97" i="2"/>
  <c r="F97" i="2" s="1"/>
  <c r="E96" i="2"/>
  <c r="F96" i="2" s="1"/>
  <c r="E95" i="2"/>
  <c r="F95" i="2" s="1"/>
  <c r="E94" i="2"/>
  <c r="F94" i="2" s="1"/>
  <c r="E93" i="2"/>
  <c r="F93" i="2" s="1"/>
  <c r="E92" i="2"/>
  <c r="F92" i="2" s="1"/>
  <c r="E91" i="2"/>
  <c r="F91" i="2" s="1"/>
  <c r="E90" i="2"/>
  <c r="F90" i="2" s="1"/>
  <c r="E89" i="2"/>
  <c r="F89" i="2" s="1"/>
  <c r="E88" i="2"/>
  <c r="F88" i="2" s="1"/>
  <c r="E87" i="2"/>
  <c r="F87" i="2" s="1"/>
  <c r="E86" i="2"/>
  <c r="F86" i="2" s="1"/>
  <c r="E85" i="2"/>
  <c r="F85" i="2" s="1"/>
  <c r="E84" i="2"/>
  <c r="F84" i="2" s="1"/>
  <c r="E83" i="2"/>
  <c r="F83" i="2" s="1"/>
  <c r="E82" i="2"/>
  <c r="F82" i="2" s="1"/>
  <c r="E81" i="2"/>
  <c r="F81" i="2" s="1"/>
  <c r="E80" i="2"/>
  <c r="F80" i="2" s="1"/>
  <c r="E79" i="2"/>
  <c r="F79" i="2" s="1"/>
  <c r="E78" i="2"/>
  <c r="F78" i="2" s="1"/>
  <c r="E77" i="2"/>
  <c r="F77" i="2" s="1"/>
  <c r="E76" i="2"/>
  <c r="F76" i="2" s="1"/>
  <c r="E75" i="2"/>
  <c r="F75" i="2" s="1"/>
  <c r="E74" i="2"/>
  <c r="F74" i="2" s="1"/>
  <c r="E73" i="2"/>
  <c r="F73" i="2" s="1"/>
  <c r="E72" i="2"/>
  <c r="F72" i="2" s="1"/>
  <c r="E71" i="2"/>
  <c r="F71" i="2" s="1"/>
  <c r="E70" i="2"/>
  <c r="F70" i="2" s="1"/>
  <c r="E69" i="2"/>
  <c r="F69" i="2" s="1"/>
  <c r="E68" i="2"/>
  <c r="F68" i="2" s="1"/>
  <c r="E67" i="2"/>
  <c r="F67" i="2" s="1"/>
  <c r="E66" i="2"/>
  <c r="F66" i="2" s="1"/>
  <c r="E65" i="2"/>
  <c r="F65" i="2" s="1"/>
  <c r="E64" i="2"/>
  <c r="F64" i="2" s="1"/>
  <c r="E63" i="2"/>
  <c r="F63" i="2" s="1"/>
  <c r="E62" i="2"/>
  <c r="F62" i="2" s="1"/>
  <c r="E61" i="2"/>
  <c r="F61" i="2" s="1"/>
  <c r="E60" i="2"/>
  <c r="F60" i="2" s="1"/>
  <c r="E59" i="2"/>
  <c r="F59" i="2" s="1"/>
  <c r="E58" i="2"/>
  <c r="F58" i="2" s="1"/>
  <c r="E57" i="2"/>
  <c r="F57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C10" i="1"/>
  <c r="C8" i="1"/>
  <c r="C6" i="1" l="1"/>
  <c r="H390" i="3"/>
  <c r="H398" i="3"/>
  <c r="H406" i="3"/>
  <c r="H414" i="3"/>
  <c r="H422" i="3"/>
  <c r="H430" i="3"/>
  <c r="H438" i="3"/>
  <c r="H446" i="3"/>
  <c r="H454" i="3"/>
  <c r="H462" i="3"/>
  <c r="H470" i="3"/>
  <c r="H478" i="3"/>
  <c r="H486" i="3"/>
  <c r="H494" i="3"/>
  <c r="H499" i="3"/>
  <c r="H502" i="3"/>
  <c r="H507" i="3"/>
  <c r="H510" i="3"/>
  <c r="H515" i="3"/>
  <c r="H518" i="3"/>
  <c r="H523" i="3"/>
  <c r="H526" i="3"/>
  <c r="H531" i="3"/>
  <c r="H534" i="3"/>
  <c r="H539" i="3"/>
  <c r="H542" i="3"/>
  <c r="H547" i="3"/>
  <c r="H550" i="3"/>
  <c r="H555" i="3"/>
  <c r="H558" i="3"/>
  <c r="H563" i="3"/>
  <c r="H566" i="3"/>
  <c r="H571" i="3"/>
  <c r="H574" i="3"/>
  <c r="H579" i="3"/>
  <c r="H582" i="3"/>
  <c r="H587" i="3"/>
  <c r="H590" i="3"/>
  <c r="H595" i="3"/>
  <c r="H598" i="3"/>
  <c r="H603" i="3"/>
  <c r="H606" i="3"/>
  <c r="H611" i="3"/>
  <c r="H614" i="3"/>
  <c r="H619" i="3"/>
  <c r="H622" i="3"/>
  <c r="H627" i="3"/>
  <c r="H630" i="3"/>
  <c r="H635" i="3"/>
  <c r="H175" i="3"/>
  <c r="H177" i="3"/>
  <c r="H179" i="3"/>
  <c r="H181" i="3"/>
  <c r="H183" i="3"/>
  <c r="H185" i="3"/>
  <c r="H187" i="3"/>
  <c r="H189" i="3"/>
  <c r="H191" i="3"/>
  <c r="H193" i="3"/>
  <c r="H195" i="3"/>
  <c r="H197" i="3"/>
  <c r="H199" i="3"/>
  <c r="H201" i="3"/>
  <c r="H203" i="3"/>
  <c r="H205" i="3"/>
  <c r="H207" i="3"/>
  <c r="H209" i="3"/>
  <c r="H211" i="3"/>
  <c r="H213" i="3"/>
  <c r="H215" i="3"/>
  <c r="H217" i="3"/>
  <c r="H219" i="3"/>
  <c r="H221" i="3"/>
  <c r="H223" i="3"/>
  <c r="H225" i="3"/>
  <c r="H227" i="3"/>
  <c r="H229" i="3"/>
  <c r="H231" i="3"/>
  <c r="H233" i="3"/>
  <c r="H235" i="3"/>
  <c r="H237" i="3"/>
  <c r="H239" i="3"/>
  <c r="H241" i="3"/>
  <c r="H243" i="3"/>
  <c r="H245" i="3"/>
  <c r="H247" i="3"/>
  <c r="H249" i="3"/>
  <c r="H251" i="3"/>
  <c r="H253" i="3"/>
  <c r="H255" i="3"/>
  <c r="H257" i="3"/>
  <c r="H259" i="3"/>
  <c r="H261" i="3"/>
  <c r="H263" i="3"/>
  <c r="H265" i="3"/>
  <c r="H267" i="3"/>
  <c r="H269" i="3"/>
  <c r="H271" i="3"/>
  <c r="H273" i="3"/>
  <c r="H275" i="3"/>
  <c r="H277" i="3"/>
  <c r="H279" i="3"/>
  <c r="H281" i="3"/>
  <c r="H283" i="3"/>
  <c r="H285" i="3"/>
  <c r="H287" i="3"/>
  <c r="H289" i="3"/>
  <c r="H291" i="3"/>
  <c r="H293" i="3"/>
  <c r="H295" i="3"/>
  <c r="H297" i="3"/>
  <c r="H299" i="3"/>
  <c r="H301" i="3"/>
  <c r="H303" i="3"/>
  <c r="H305" i="3"/>
  <c r="H307" i="3"/>
  <c r="H309" i="3"/>
  <c r="H311" i="3"/>
  <c r="H313" i="3"/>
  <c r="H315" i="3"/>
  <c r="H317" i="3"/>
  <c r="H319" i="3"/>
  <c r="H321" i="3"/>
  <c r="H323" i="3"/>
  <c r="H325" i="3"/>
  <c r="H327" i="3"/>
  <c r="H329" i="3"/>
  <c r="H331" i="3"/>
  <c r="H333" i="3"/>
  <c r="H335" i="3"/>
  <c r="H337" i="3"/>
  <c r="H339" i="3"/>
  <c r="H341" i="3"/>
  <c r="H343" i="3"/>
  <c r="H345" i="3"/>
  <c r="H347" i="3"/>
  <c r="H349" i="3"/>
  <c r="H351" i="3"/>
  <c r="H353" i="3"/>
  <c r="H355" i="3"/>
  <c r="H357" i="3"/>
  <c r="H359" i="3"/>
  <c r="H361" i="3"/>
  <c r="H363" i="3"/>
  <c r="H365" i="3"/>
  <c r="H367" i="3"/>
  <c r="H369" i="3"/>
  <c r="H371" i="3"/>
  <c r="H373" i="3"/>
  <c r="H375" i="3"/>
  <c r="H377" i="3"/>
  <c r="H379" i="3"/>
  <c r="H381" i="3"/>
  <c r="H383" i="3"/>
  <c r="H385" i="3"/>
  <c r="H388" i="3"/>
  <c r="H393" i="3"/>
  <c r="H396" i="3"/>
  <c r="H401" i="3"/>
  <c r="H404" i="3"/>
  <c r="H409" i="3"/>
  <c r="H412" i="3"/>
  <c r="H417" i="3"/>
  <c r="H420" i="3"/>
  <c r="H425" i="3"/>
  <c r="H428" i="3"/>
  <c r="H433" i="3"/>
  <c r="H436" i="3"/>
  <c r="H441" i="3"/>
  <c r="H444" i="3"/>
  <c r="H449" i="3"/>
  <c r="H452" i="3"/>
  <c r="H457" i="3"/>
  <c r="H460" i="3"/>
  <c r="H465" i="3"/>
  <c r="H468" i="3"/>
  <c r="H473" i="3"/>
  <c r="H476" i="3"/>
  <c r="H481" i="3"/>
  <c r="H484" i="3"/>
  <c r="H489" i="3"/>
  <c r="H492" i="3"/>
  <c r="H497" i="3"/>
  <c r="H500" i="3"/>
  <c r="H505" i="3"/>
  <c r="H508" i="3"/>
  <c r="H513" i="3"/>
  <c r="H516" i="3"/>
  <c r="H521" i="3"/>
  <c r="H524" i="3"/>
  <c r="H529" i="3"/>
  <c r="H532" i="3"/>
  <c r="H537" i="3"/>
  <c r="H540" i="3"/>
  <c r="H545" i="3"/>
  <c r="H548" i="3"/>
  <c r="H553" i="3"/>
  <c r="H556" i="3"/>
  <c r="H561" i="3"/>
  <c r="H564" i="3"/>
  <c r="H569" i="3"/>
  <c r="H572" i="3"/>
  <c r="H577" i="3"/>
  <c r="H580" i="3"/>
  <c r="H585" i="3"/>
  <c r="H588" i="3"/>
  <c r="H593" i="3"/>
  <c r="H596" i="3"/>
  <c r="H601" i="3"/>
  <c r="H604" i="3"/>
  <c r="H609" i="3"/>
  <c r="H612" i="3"/>
  <c r="H617" i="3"/>
  <c r="H620" i="3"/>
  <c r="H625" i="3"/>
  <c r="H628" i="3"/>
  <c r="H636" i="3"/>
  <c r="H640" i="3"/>
  <c r="H997" i="3"/>
  <c r="H1001" i="3"/>
  <c r="H993" i="3"/>
  <c r="H985" i="3"/>
  <c r="H977" i="3"/>
  <c r="H969" i="3"/>
  <c r="H961" i="3"/>
  <c r="H953" i="3"/>
  <c r="H945" i="3"/>
  <c r="H937" i="3"/>
  <c r="H929" i="3"/>
  <c r="H921" i="3"/>
  <c r="H913" i="3"/>
  <c r="H881" i="3"/>
  <c r="H905" i="3"/>
  <c r="H873" i="3"/>
  <c r="H849" i="3"/>
  <c r="H828" i="3"/>
  <c r="H820" i="3"/>
  <c r="H812" i="3"/>
  <c r="H804" i="3"/>
  <c r="H796" i="3"/>
  <c r="H788" i="3"/>
  <c r="H897" i="3"/>
  <c r="H865" i="3"/>
  <c r="H889" i="3"/>
  <c r="H857" i="3"/>
  <c r="H841" i="3"/>
  <c r="H832" i="3"/>
  <c r="H808" i="3"/>
  <c r="H780" i="3"/>
  <c r="H764" i="3"/>
  <c r="H800" i="3"/>
  <c r="H776" i="3"/>
  <c r="H760" i="3"/>
  <c r="H643" i="3"/>
  <c r="H641" i="3"/>
  <c r="H639" i="3"/>
  <c r="H637" i="3"/>
  <c r="H824" i="3"/>
  <c r="H792" i="3"/>
  <c r="H772" i="3"/>
  <c r="H756" i="3"/>
  <c r="H816" i="3"/>
  <c r="H784" i="3"/>
  <c r="H768" i="3"/>
  <c r="H752" i="3"/>
  <c r="H386" i="3"/>
  <c r="H394" i="3"/>
  <c r="H402" i="3"/>
  <c r="H410" i="3"/>
  <c r="H418" i="3"/>
  <c r="H426" i="3"/>
  <c r="H434" i="3"/>
  <c r="H442" i="3"/>
  <c r="H450" i="3"/>
  <c r="H458" i="3"/>
  <c r="H466" i="3"/>
  <c r="H474" i="3"/>
  <c r="H482" i="3"/>
  <c r="H490" i="3"/>
  <c r="H495" i="3"/>
  <c r="H498" i="3"/>
  <c r="H503" i="3"/>
  <c r="H506" i="3"/>
  <c r="H511" i="3"/>
  <c r="H514" i="3"/>
  <c r="H519" i="3"/>
  <c r="H522" i="3"/>
  <c r="H527" i="3"/>
  <c r="H530" i="3"/>
  <c r="H535" i="3"/>
  <c r="H538" i="3"/>
  <c r="H543" i="3"/>
  <c r="H546" i="3"/>
  <c r="H551" i="3"/>
  <c r="H554" i="3"/>
  <c r="H559" i="3"/>
  <c r="H562" i="3"/>
  <c r="H567" i="3"/>
  <c r="H570" i="3"/>
  <c r="H575" i="3"/>
  <c r="H578" i="3"/>
  <c r="H583" i="3"/>
  <c r="H586" i="3"/>
  <c r="H591" i="3"/>
  <c r="H594" i="3"/>
  <c r="H599" i="3"/>
  <c r="H602" i="3"/>
  <c r="H607" i="3"/>
  <c r="H610" i="3"/>
  <c r="H615" i="3"/>
  <c r="H618" i="3"/>
  <c r="H623" i="3"/>
  <c r="H626" i="3"/>
  <c r="H631" i="3"/>
  <c r="H634" i="3"/>
  <c r="H192" i="3"/>
  <c r="H194" i="3"/>
  <c r="H196" i="3"/>
  <c r="H198" i="3"/>
  <c r="H200" i="3"/>
  <c r="H202" i="3"/>
  <c r="H204" i="3"/>
  <c r="H206" i="3"/>
  <c r="H208" i="3"/>
  <c r="H210" i="3"/>
  <c r="H212" i="3"/>
  <c r="H214" i="3"/>
  <c r="H216" i="3"/>
  <c r="H218" i="3"/>
  <c r="H220" i="3"/>
  <c r="H222" i="3"/>
  <c r="H224" i="3"/>
  <c r="H226" i="3"/>
  <c r="H228" i="3"/>
  <c r="H230" i="3"/>
  <c r="H232" i="3"/>
  <c r="H234" i="3"/>
  <c r="H236" i="3"/>
  <c r="H238" i="3"/>
  <c r="H240" i="3"/>
  <c r="H242" i="3"/>
  <c r="H244" i="3"/>
  <c r="H246" i="3"/>
  <c r="H248" i="3"/>
  <c r="H250" i="3"/>
  <c r="H252" i="3"/>
  <c r="H254" i="3"/>
  <c r="H256" i="3"/>
  <c r="H258" i="3"/>
  <c r="H260" i="3"/>
  <c r="H262" i="3"/>
  <c r="H264" i="3"/>
  <c r="H266" i="3"/>
  <c r="H268" i="3"/>
  <c r="H270" i="3"/>
  <c r="H272" i="3"/>
  <c r="H274" i="3"/>
  <c r="H276" i="3"/>
  <c r="H278" i="3"/>
  <c r="H280" i="3"/>
  <c r="H282" i="3"/>
  <c r="H284" i="3"/>
  <c r="H286" i="3"/>
  <c r="H288" i="3"/>
  <c r="H290" i="3"/>
  <c r="H292" i="3"/>
  <c r="H294" i="3"/>
  <c r="H296" i="3"/>
  <c r="H298" i="3"/>
  <c r="H300" i="3"/>
  <c r="H302" i="3"/>
  <c r="H304" i="3"/>
  <c r="H306" i="3"/>
  <c r="H308" i="3"/>
  <c r="H310" i="3"/>
  <c r="H312" i="3"/>
  <c r="H314" i="3"/>
  <c r="H316" i="3"/>
  <c r="H318" i="3"/>
  <c r="H320" i="3"/>
  <c r="H322" i="3"/>
  <c r="H324" i="3"/>
  <c r="H326" i="3"/>
  <c r="H328" i="3"/>
  <c r="H330" i="3"/>
  <c r="H332" i="3"/>
  <c r="H334" i="3"/>
  <c r="H336" i="3"/>
  <c r="H338" i="3"/>
  <c r="H340" i="3"/>
  <c r="H342" i="3"/>
  <c r="H344" i="3"/>
  <c r="H346" i="3"/>
  <c r="H348" i="3"/>
  <c r="H350" i="3"/>
  <c r="H352" i="3"/>
  <c r="H354" i="3"/>
  <c r="H356" i="3"/>
  <c r="H358" i="3"/>
  <c r="H360" i="3"/>
  <c r="H362" i="3"/>
  <c r="H364" i="3"/>
  <c r="H366" i="3"/>
  <c r="H368" i="3"/>
  <c r="H370" i="3"/>
  <c r="H372" i="3"/>
  <c r="H374" i="3"/>
  <c r="H376" i="3"/>
  <c r="H378" i="3"/>
  <c r="H380" i="3"/>
  <c r="H382" i="3"/>
  <c r="H384" i="3"/>
  <c r="H389" i="3"/>
  <c r="H392" i="3"/>
  <c r="H397" i="3"/>
  <c r="H400" i="3"/>
  <c r="H405" i="3"/>
  <c r="H408" i="3"/>
  <c r="H413" i="3"/>
  <c r="H416" i="3"/>
  <c r="H421" i="3"/>
  <c r="H424" i="3"/>
  <c r="H429" i="3"/>
  <c r="H432" i="3"/>
  <c r="H437" i="3"/>
  <c r="H440" i="3"/>
  <c r="H445" i="3"/>
  <c r="H448" i="3"/>
  <c r="H453" i="3"/>
  <c r="H456" i="3"/>
  <c r="H461" i="3"/>
  <c r="H464" i="3"/>
  <c r="H469" i="3"/>
  <c r="H472" i="3"/>
  <c r="H477" i="3"/>
  <c r="H480" i="3"/>
  <c r="H485" i="3"/>
  <c r="H488" i="3"/>
  <c r="H493" i="3"/>
  <c r="H496" i="3"/>
  <c r="H501" i="3"/>
  <c r="H504" i="3"/>
  <c r="H509" i="3"/>
  <c r="H512" i="3"/>
  <c r="H517" i="3"/>
  <c r="H520" i="3"/>
  <c r="H525" i="3"/>
  <c r="H528" i="3"/>
  <c r="H533" i="3"/>
  <c r="H536" i="3"/>
  <c r="H541" i="3"/>
  <c r="H544" i="3"/>
  <c r="H549" i="3"/>
  <c r="H552" i="3"/>
  <c r="H557" i="3"/>
  <c r="H560" i="3"/>
  <c r="H565" i="3"/>
  <c r="H568" i="3"/>
  <c r="H573" i="3"/>
  <c r="H576" i="3"/>
  <c r="H581" i="3"/>
  <c r="H584" i="3"/>
  <c r="H589" i="3"/>
  <c r="H592" i="3"/>
  <c r="H597" i="3"/>
  <c r="H600" i="3"/>
  <c r="H605" i="3"/>
  <c r="H608" i="3"/>
  <c r="H613" i="3"/>
  <c r="H616" i="3"/>
  <c r="H621" i="3"/>
  <c r="H624" i="3"/>
  <c r="H629" i="3"/>
  <c r="H632" i="3"/>
  <c r="H638" i="3"/>
  <c r="H642" i="3"/>
  <c r="H645" i="3"/>
  <c r="H649" i="3"/>
  <c r="H653" i="3"/>
  <c r="H657" i="3"/>
  <c r="H661" i="3"/>
  <c r="H665" i="3"/>
  <c r="H669" i="3"/>
  <c r="H673" i="3"/>
  <c r="H677" i="3"/>
  <c r="H681" i="3"/>
  <c r="H685" i="3"/>
  <c r="H689" i="3"/>
  <c r="H693" i="3"/>
  <c r="H697" i="3"/>
  <c r="H701" i="3"/>
  <c r="H705" i="3"/>
  <c r="H709" i="3"/>
  <c r="H713" i="3"/>
  <c r="H717" i="3"/>
  <c r="H721" i="3"/>
  <c r="H725" i="3"/>
  <c r="H729" i="3"/>
  <c r="H733" i="3"/>
  <c r="H737" i="3"/>
  <c r="H741" i="3"/>
  <c r="H745" i="3"/>
  <c r="H749" i="3"/>
  <c r="H759" i="3"/>
  <c r="H762" i="3"/>
  <c r="H775" i="3"/>
  <c r="H778" i="3"/>
  <c r="H795" i="3"/>
  <c r="H802" i="3"/>
  <c r="H806" i="3"/>
  <c r="H839" i="3"/>
  <c r="H847" i="3"/>
  <c r="H855" i="3"/>
  <c r="H646" i="3"/>
  <c r="H650" i="3"/>
  <c r="H654" i="3"/>
  <c r="H658" i="3"/>
  <c r="H662" i="3"/>
  <c r="H666" i="3"/>
  <c r="H670" i="3"/>
  <c r="H674" i="3"/>
  <c r="H678" i="3"/>
  <c r="H682" i="3"/>
  <c r="H686" i="3"/>
  <c r="H690" i="3"/>
  <c r="H694" i="3"/>
  <c r="H698" i="3"/>
  <c r="H702" i="3"/>
  <c r="H706" i="3"/>
  <c r="H710" i="3"/>
  <c r="H714" i="3"/>
  <c r="H718" i="3"/>
  <c r="H722" i="3"/>
  <c r="H726" i="3"/>
  <c r="H730" i="3"/>
  <c r="H734" i="3"/>
  <c r="H738" i="3"/>
  <c r="H742" i="3"/>
  <c r="H746" i="3"/>
  <c r="H750" i="3"/>
  <c r="H763" i="3"/>
  <c r="H766" i="3"/>
  <c r="H779" i="3"/>
  <c r="H782" i="3"/>
  <c r="H803" i="3"/>
  <c r="H810" i="3"/>
  <c r="H814" i="3"/>
  <c r="H647" i="3"/>
  <c r="H651" i="3"/>
  <c r="H655" i="3"/>
  <c r="H659" i="3"/>
  <c r="H663" i="3"/>
  <c r="H667" i="3"/>
  <c r="H671" i="3"/>
  <c r="H675" i="3"/>
  <c r="H679" i="3"/>
  <c r="H683" i="3"/>
  <c r="H687" i="3"/>
  <c r="H691" i="3"/>
  <c r="H695" i="3"/>
  <c r="H699" i="3"/>
  <c r="H703" i="3"/>
  <c r="H707" i="3"/>
  <c r="H711" i="3"/>
  <c r="H715" i="3"/>
  <c r="H719" i="3"/>
  <c r="H723" i="3"/>
  <c r="H727" i="3"/>
  <c r="H731" i="3"/>
  <c r="H735" i="3"/>
  <c r="H739" i="3"/>
  <c r="H743" i="3"/>
  <c r="H747" i="3"/>
  <c r="H751" i="3"/>
  <c r="H754" i="3"/>
  <c r="H767" i="3"/>
  <c r="H770" i="3"/>
  <c r="H783" i="3"/>
  <c r="H786" i="3"/>
  <c r="H790" i="3"/>
  <c r="H811" i="3"/>
  <c r="H818" i="3"/>
  <c r="H822" i="3"/>
  <c r="H644" i="3"/>
  <c r="H648" i="3"/>
  <c r="H652" i="3"/>
  <c r="H656" i="3"/>
  <c r="H660" i="3"/>
  <c r="H664" i="3"/>
  <c r="H668" i="3"/>
  <c r="H672" i="3"/>
  <c r="H676" i="3"/>
  <c r="H680" i="3"/>
  <c r="H684" i="3"/>
  <c r="H688" i="3"/>
  <c r="H692" i="3"/>
  <c r="H696" i="3"/>
  <c r="H700" i="3"/>
  <c r="H704" i="3"/>
  <c r="H708" i="3"/>
  <c r="H712" i="3"/>
  <c r="H716" i="3"/>
  <c r="H720" i="3"/>
  <c r="H724" i="3"/>
  <c r="H728" i="3"/>
  <c r="H732" i="3"/>
  <c r="H736" i="3"/>
  <c r="H740" i="3"/>
  <c r="H744" i="3"/>
  <c r="H748" i="3"/>
  <c r="H755" i="3"/>
  <c r="H758" i="3"/>
  <c r="H771" i="3"/>
  <c r="H774" i="3"/>
  <c r="H787" i="3"/>
  <c r="H794" i="3"/>
  <c r="H798" i="3"/>
  <c r="H819" i="3"/>
  <c r="H826" i="3"/>
  <c r="H830" i="3"/>
  <c r="H834" i="3"/>
  <c r="H827" i="3"/>
  <c r="H835" i="3"/>
  <c r="H845" i="3"/>
  <c r="H851" i="3"/>
  <c r="H861" i="3"/>
  <c r="H868" i="3"/>
  <c r="H875" i="3"/>
  <c r="H879" i="3"/>
  <c r="H893" i="3"/>
  <c r="H900" i="3"/>
  <c r="H907" i="3"/>
  <c r="H911" i="3"/>
  <c r="H915" i="3"/>
  <c r="H919" i="3"/>
  <c r="H923" i="3"/>
  <c r="H927" i="3"/>
  <c r="H931" i="3"/>
  <c r="H935" i="3"/>
  <c r="H939" i="3"/>
  <c r="H943" i="3"/>
  <c r="H947" i="3"/>
  <c r="H951" i="3"/>
  <c r="H955" i="3"/>
  <c r="H959" i="3"/>
  <c r="H963" i="3"/>
  <c r="H967" i="3"/>
  <c r="H971" i="3"/>
  <c r="H975" i="3"/>
  <c r="H979" i="3"/>
  <c r="H983" i="3"/>
  <c r="H987" i="3"/>
  <c r="H991" i="3"/>
  <c r="H995" i="3"/>
  <c r="H999" i="3"/>
  <c r="H1003" i="3"/>
  <c r="H753" i="3"/>
  <c r="H761" i="3"/>
  <c r="H769" i="3"/>
  <c r="H777" i="3"/>
  <c r="H785" i="3"/>
  <c r="H793" i="3"/>
  <c r="H801" i="3"/>
  <c r="H809" i="3"/>
  <c r="H817" i="3"/>
  <c r="H825" i="3"/>
  <c r="H833" i="3"/>
  <c r="H836" i="3"/>
  <c r="H842" i="3"/>
  <c r="H852" i="3"/>
  <c r="H858" i="3"/>
  <c r="H869" i="3"/>
  <c r="H876" i="3"/>
  <c r="H883" i="3"/>
  <c r="H887" i="3"/>
  <c r="H901" i="3"/>
  <c r="H908" i="3"/>
  <c r="H791" i="3"/>
  <c r="H799" i="3"/>
  <c r="H807" i="3"/>
  <c r="H815" i="3"/>
  <c r="H823" i="3"/>
  <c r="H831" i="3"/>
  <c r="H837" i="3"/>
  <c r="H843" i="3"/>
  <c r="H853" i="3"/>
  <c r="H859" i="3"/>
  <c r="H863" i="3"/>
  <c r="H877" i="3"/>
  <c r="H884" i="3"/>
  <c r="H891" i="3"/>
  <c r="H895" i="3"/>
  <c r="H909" i="3"/>
  <c r="H917" i="3"/>
  <c r="H925" i="3"/>
  <c r="H933" i="3"/>
  <c r="H941" i="3"/>
  <c r="H949" i="3"/>
  <c r="H957" i="3"/>
  <c r="H965" i="3"/>
  <c r="H973" i="3"/>
  <c r="H981" i="3"/>
  <c r="H989" i="3"/>
  <c r="H757" i="3"/>
  <c r="H765" i="3"/>
  <c r="H773" i="3"/>
  <c r="H781" i="3"/>
  <c r="H789" i="3"/>
  <c r="H797" i="3"/>
  <c r="H805" i="3"/>
  <c r="H813" i="3"/>
  <c r="H821" i="3"/>
  <c r="H829" i="3"/>
  <c r="H844" i="3"/>
  <c r="H850" i="3"/>
  <c r="H860" i="3"/>
  <c r="H867" i="3"/>
  <c r="H871" i="3"/>
  <c r="H885" i="3"/>
  <c r="H892" i="3"/>
  <c r="H899" i="3"/>
  <c r="H903" i="3"/>
  <c r="H838" i="3"/>
  <c r="H846" i="3"/>
  <c r="H854" i="3"/>
  <c r="H862" i="3"/>
  <c r="H870" i="3"/>
  <c r="H878" i="3"/>
  <c r="H886" i="3"/>
  <c r="H894" i="3"/>
  <c r="H902" i="3"/>
  <c r="H910" i="3"/>
  <c r="H918" i="3"/>
  <c r="H926" i="3"/>
  <c r="H934" i="3"/>
  <c r="H942" i="3"/>
  <c r="H950" i="3"/>
  <c r="H958" i="3"/>
  <c r="H966" i="3"/>
  <c r="H974" i="3"/>
  <c r="H982" i="3"/>
  <c r="H990" i="3"/>
  <c r="H998" i="3"/>
  <c r="H916" i="3"/>
  <c r="H924" i="3"/>
  <c r="H932" i="3"/>
  <c r="H940" i="3"/>
  <c r="H948" i="3"/>
  <c r="H956" i="3"/>
  <c r="H964" i="3"/>
  <c r="H972" i="3"/>
  <c r="H980" i="3"/>
  <c r="H988" i="3"/>
  <c r="H996" i="3"/>
  <c r="H1004" i="3"/>
  <c r="H866" i="3"/>
  <c r="H874" i="3"/>
  <c r="H882" i="3"/>
  <c r="H890" i="3"/>
  <c r="H898" i="3"/>
  <c r="H906" i="3"/>
  <c r="H914" i="3"/>
  <c r="H922" i="3"/>
  <c r="H930" i="3"/>
  <c r="H938" i="3"/>
  <c r="H946" i="3"/>
  <c r="H954" i="3"/>
  <c r="H962" i="3"/>
  <c r="H970" i="3"/>
  <c r="H978" i="3"/>
  <c r="H986" i="3"/>
  <c r="H994" i="3"/>
  <c r="H1002" i="3"/>
  <c r="H840" i="3"/>
  <c r="H848" i="3"/>
  <c r="H856" i="3"/>
  <c r="H864" i="3"/>
  <c r="H872" i="3"/>
  <c r="H880" i="3"/>
  <c r="H888" i="3"/>
  <c r="H896" i="3"/>
  <c r="H904" i="3"/>
  <c r="H912" i="3"/>
  <c r="H920" i="3"/>
  <c r="H928" i="3"/>
  <c r="H936" i="3"/>
  <c r="H944" i="3"/>
  <c r="H952" i="3"/>
  <c r="H960" i="3"/>
  <c r="H968" i="3"/>
  <c r="H976" i="3"/>
  <c r="H984" i="3"/>
  <c r="H992" i="3"/>
  <c r="H1000" i="3"/>
</calcChain>
</file>

<file path=xl/sharedStrings.xml><?xml version="1.0" encoding="utf-8"?>
<sst xmlns="http://schemas.openxmlformats.org/spreadsheetml/2006/main" count="34" uniqueCount="32">
  <si>
    <t>তপু ভাই, আল রাফি মোটরস - ড্যাশবোর্ড</t>
  </si>
  <si>
    <t>মার্কেটে মোট বকেয়া:</t>
  </si>
  <si>
    <t>মোট কাস্টমার সংখ্যা:</t>
  </si>
  <si>
    <t>আজকের মোট কালেকশন:</t>
  </si>
  <si>
    <t>🔍 কাস্টমার বা মোবাইল নম্বর দিয়ে খুঁজুন ➔</t>
  </si>
  <si>
    <t>কাস্টমার আইডি</t>
  </si>
  <si>
    <t>কাস্টমারের নাম</t>
  </si>
  <si>
    <t>মোবাইল নম্বর</t>
  </si>
  <si>
    <t>ঠিকানা</t>
  </si>
  <si>
    <t>মোট বকেয়া (অটো)</t>
  </si>
  <si>
    <t>হোয়াটসঅ্যাপ মেসেজ (অটো)</t>
  </si>
  <si>
    <t>C-001</t>
  </si>
  <si>
    <t>তপু ভাই, আল রাফি মোটরস</t>
  </si>
  <si>
    <t>01720643322</t>
  </si>
  <si>
    <t>ধোলাইখাল, ঢাকা</t>
  </si>
  <si>
    <t>C-002</t>
  </si>
  <si>
    <t>জামাল, রহমান টাওয়ার</t>
  </si>
  <si>
    <t>01676218863</t>
  </si>
  <si>
    <t>তারিখ</t>
  </si>
  <si>
    <t>কাস্টমারের নাম (সিলেক্ট করুন)</t>
  </si>
  <si>
    <t>কাস্টমার আইডি (অটো)</t>
  </si>
  <si>
    <t>বিবরণ</t>
  </si>
  <si>
    <t>ভাউচার নং</t>
  </si>
  <si>
    <t>খরচ / বাকি (Debit)</t>
  </si>
  <si>
    <t>জমা (Credit)</t>
  </si>
  <si>
    <t>বর্তমান ব্যালেন্স (অটো)</t>
  </si>
  <si>
    <t>সর্বমোট:</t>
  </si>
  <si>
    <t>19/09/2022</t>
  </si>
  <si>
    <t>পূর্বের জের</t>
  </si>
  <si>
    <t>2203</t>
  </si>
  <si>
    <t>28/09/2022</t>
  </si>
  <si>
    <t>2295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</si>
</sst>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Hind Siliguri"/>
    </font>
    <font>
      <sz val="11"/>
      <color theme="1"/>
      <name val="Hind Siliguri"/>
    </font>
    <font>
      <b/>
      <sz val="14"/>
      <color theme="1"/>
      <name val="Hind Siliguri"/>
    </font>
    <font>
      <b/>
      <sz val="16"/>
      <color rgb="FFC0392B"/>
      <name val="Hind Siliguri"/>
    </font>
    <font>
      <b/>
      <sz val="12"/>
      <color rgb="FF1F618D"/>
      <name val="Hind Siliguri"/>
    </font>
    <font>
      <b/>
      <sz val="12"/>
      <color theme="1"/>
      <name val="Hind Siliguri"/>
    </font>
    <font>
      <b/>
      <sz val="11"/>
      <color rgb="FFFFFFFF"/>
      <name val="Hind Siliguri"/>
    </font>
    <font>
      <b/>
      <sz val="11"/>
      <color theme="1"/>
      <name val="Hind Siliguri"/>
    </font>
    <font>
      <b/>
      <u/>
      <sz val="11"/>
      <color rgb="FF2874A6"/>
      <name val="Hind Siliguri"/>
    </font>
  </fonts>
  <fills count="9">
    <fill>
      <patternFill patternType="none"/>
    </fill>
    <fill>
      <patternFill patternType="gray125"/>
    </fill>
    <fill>
      <patternFill patternType="solid">
        <fgColor rgb="FF1A5276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4F6F6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AFA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4" fontId="4" fillId="0" borderId="0" xfId="0" applyNumberFormat="1" applyFont="1" applyAlignment="1">
      <alignment horizontal="left"/>
    </xf>
    <xf numFmtId="0" fontId="5" fillId="0" borderId="0" xfId="0" applyFont="1" applyAlignment="1">
      <alignment horizontal="right" vertical="center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7" fillId="4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vertical="center"/>
      <protection locked="0"/>
    </xf>
    <xf numFmtId="4" fontId="8" fillId="5" borderId="1" xfId="0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 applyProtection="1">
      <alignment vertical="center"/>
      <protection locked="0"/>
    </xf>
    <xf numFmtId="0" fontId="2" fillId="5" borderId="1" xfId="0" applyFont="1" applyFill="1" applyBorder="1" applyAlignment="1">
      <alignment vertical="center"/>
    </xf>
    <xf numFmtId="4" fontId="2" fillId="7" borderId="1" xfId="0" applyNumberFormat="1" applyFont="1" applyFill="1" applyBorder="1" applyAlignment="1" applyProtection="1">
      <alignment vertical="center"/>
      <protection locked="0"/>
    </xf>
    <xf numFmtId="4" fontId="2" fillId="8" borderId="1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Hind Siliguri"/>
        <scheme val="none"/>
      </font>
      <numFmt numFmtId="4" formatCode="#,##0.00"/>
      <fill>
        <patternFill>
          <bgColor rgb="FFF4F6F6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  <numFmt numFmtId="4" formatCode="#,##0.00"/>
      <fill>
        <patternFill>
          <bgColor rgb="FFEAFAF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  <numFmt numFmtId="4" formatCode="#,##0.00"/>
      <fill>
        <patternFill>
          <bgColor rgb="FFFDEDEC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b/>
        <color rgb="FF148F77"/>
      </font>
      <fill>
        <patternFill>
          <bgColor rgb="FFD5F5E3"/>
        </patternFill>
      </fill>
    </dxf>
    <dxf>
      <font>
        <b/>
        <color rgb="FF922B21"/>
      </font>
      <fill>
        <patternFill>
          <bgColor rgb="FFF2D7D5"/>
        </patternFill>
      </fill>
    </dxf>
    <dxf>
      <font>
        <b/>
        <color rgb="FF7D6608"/>
      </font>
      <fill>
        <patternFill>
          <bgColor rgb="FFF9E79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dgerTable" displayName="LedgerTable" ref="A1:H1005" totalsRowCount="1" headerRowDxfId="2" dataDxfId="0" totalsRowDxfId="1">
  <autoFilter ref="A1:H1004" xr:uid="{00000000-0009-0000-0100-000001000000}"/>
  <tableColumns count="8">
    <tableColumn id="1" xr3:uid="{00000000-0010-0000-0000-000001000000}" name="তারিখ" totalsRowLabel="সর্বমোট:" dataDxfId="18" totalsRowDxfId="17"/>
    <tableColumn id="2" xr3:uid="{00000000-0010-0000-0000-000002000000}" name="কাস্টমারের নাম (সিলেক্ট করুন)" dataDxfId="16" totalsRowDxfId="15"/>
    <tableColumn id="3" xr3:uid="{00000000-0010-0000-0000-000003000000}" name="কাস্টমার আইডি (অটো)" dataDxfId="14" totalsRowDxfId="13"/>
    <tableColumn id="4" xr3:uid="{00000000-0010-0000-0000-000004000000}" name="বিবরণ" dataDxfId="12" totalsRowDxfId="11"/>
    <tableColumn id="5" xr3:uid="{00000000-0010-0000-0000-000005000000}" name="ভাউচার নং" dataDxfId="10" totalsRowDxfId="9"/>
    <tableColumn id="6" xr3:uid="{00000000-0010-0000-0000-000006000000}" name="খরচ / বাকি (Debit)" totalsRowFunction="sum" dataDxfId="8" totalsRowDxfId="7"/>
    <tableColumn id="7" xr3:uid="{00000000-0010-0000-0000-000007000000}" name="জমা (Credit)" totalsRowFunction="sum" dataDxfId="6" totalsRowDxfId="5"/>
    <tableColumn id="8" xr3:uid="{00000000-0010-0000-0000-000008000000}" name="বর্তমান ব্যালেন্স (অটো)" dataDxfId="4" totalsRow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showGridLines="0" workbookViewId="0">
      <selection activeCell="B2" sqref="B2:E3"/>
    </sheetView>
  </sheetViews>
  <sheetFormatPr defaultRowHeight="21" x14ac:dyDescent="0.55000000000000004"/>
  <cols>
    <col min="1" max="1" width="5.7109375" style="2" customWidth="1"/>
    <col min="2" max="2" width="25.7109375" style="2" customWidth="1"/>
    <col min="3" max="3" width="30.7109375" style="2" customWidth="1"/>
    <col min="4" max="16384" width="9.140625" style="2"/>
  </cols>
  <sheetData>
    <row r="2" spans="2:5" x14ac:dyDescent="0.55000000000000004">
      <c r="B2" s="1" t="s">
        <v>0</v>
      </c>
      <c r="C2" s="1"/>
      <c r="D2" s="1"/>
      <c r="E2" s="1"/>
    </row>
    <row r="3" spans="2:5" x14ac:dyDescent="0.55000000000000004">
      <c r="B3" s="1"/>
      <c r="C3" s="1"/>
      <c r="D3" s="1"/>
      <c r="E3" s="1"/>
    </row>
    <row r="6" spans="2:5" ht="27.75" x14ac:dyDescent="0.7">
      <c r="B6" s="3" t="s">
        <v>1</v>
      </c>
      <c r="C6" s="4">
        <f>SUM('কাস্টমার তালিকা'!E:E)</f>
        <v>203000</v>
      </c>
    </row>
    <row r="8" spans="2:5" ht="27.75" x14ac:dyDescent="0.7">
      <c r="B8" s="3" t="s">
        <v>2</v>
      </c>
      <c r="C8" s="4">
        <f>COUNTA('কাস্টমার তালিকা'!A:A)-1</f>
        <v>2</v>
      </c>
    </row>
    <row r="10" spans="2:5" ht="27.75" x14ac:dyDescent="0.7">
      <c r="B10" s="3" t="s">
        <v>3</v>
      </c>
      <c r="C10" s="4">
        <f ca="1">SUMIFS(খতিয়ান!G:G, খতিয়ান!A:A, TODAY())</f>
        <v>0</v>
      </c>
    </row>
  </sheetData>
  <mergeCells count="1">
    <mergeCell ref="B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5"/>
  <sheetViews>
    <sheetView showGridLines="0" workbookViewId="0">
      <pane ySplit="3" topLeftCell="A4" activePane="bottomLeft" state="frozen"/>
      <selection pane="bottomLeft" activeCell="D4" sqref="D4"/>
    </sheetView>
  </sheetViews>
  <sheetFormatPr defaultRowHeight="21" x14ac:dyDescent="0.55000000000000004"/>
  <cols>
    <col min="1" max="1" width="15.7109375" style="2" customWidth="1"/>
    <col min="2" max="2" width="35.7109375" style="2" customWidth="1"/>
    <col min="3" max="3" width="21.140625" style="2" customWidth="1"/>
    <col min="4" max="4" width="35.7109375" style="2" customWidth="1"/>
    <col min="5" max="5" width="20.7109375" style="2" customWidth="1"/>
    <col min="6" max="6" width="30.7109375" style="2" customWidth="1"/>
    <col min="7" max="16384" width="9.140625" style="2"/>
  </cols>
  <sheetData>
    <row r="1" spans="1:6" ht="24.95" customHeight="1" x14ac:dyDescent="0.55000000000000004">
      <c r="B1" s="5" t="s">
        <v>4</v>
      </c>
      <c r="C1" s="6"/>
    </row>
    <row r="3" spans="1:6" x14ac:dyDescent="0.55000000000000004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</row>
    <row r="4" spans="1:6" x14ac:dyDescent="0.55000000000000004">
      <c r="A4" s="8" t="s">
        <v>11</v>
      </c>
      <c r="B4" s="8" t="s">
        <v>12</v>
      </c>
      <c r="C4" s="8" t="s">
        <v>13</v>
      </c>
      <c r="D4" s="8" t="s">
        <v>14</v>
      </c>
      <c r="E4" s="9">
        <f>SUMIF(খতিয়ান!C:C, A4, খতিয়ান!F:F) - SUMIF(খতিয়ান!C:C, A4, খতিয়ান!G:G)</f>
        <v>203000</v>
      </c>
      <c r="F4" s="10" t="str">
        <f t="shared" ref="F4:F67" si="0">IF(OR(ISBLANK(C4), E4&lt;=0), "", HYPERLINK("https://wa.me/88"&amp;C4&amp;"?text=আসসালামু আলাইকুম "&amp;B4&amp;", আপনার মোট বকেয়া "&amp;TEXT(E4,"0")&amp;" টাকা। অনুগ্রহ করে পরিশোধ করবেন।", "✉️ মেসেজ পাঠান"))</f>
        <v>✉️ মেসেজ পাঠান</v>
      </c>
    </row>
    <row r="5" spans="1:6" x14ac:dyDescent="0.55000000000000004">
      <c r="A5" s="8" t="s">
        <v>15</v>
      </c>
      <c r="B5" s="8" t="s">
        <v>16</v>
      </c>
      <c r="C5" s="8" t="s">
        <v>17</v>
      </c>
      <c r="D5" s="8"/>
      <c r="E5" s="9">
        <f>SUMIF(খতিয়ান!C:C, A5, খতিয়ান!F:F) - SUMIF(খতিয়ান!C:C, A5, খতিয়ান!G:G)</f>
        <v>0</v>
      </c>
      <c r="F5" s="10" t="str">
        <f t="shared" si="0"/>
        <v/>
      </c>
    </row>
    <row r="6" spans="1:6" x14ac:dyDescent="0.55000000000000004">
      <c r="A6" s="8"/>
      <c r="B6" s="8"/>
      <c r="C6" s="8"/>
      <c r="D6" s="8"/>
      <c r="E6" s="9">
        <f>SUMIF(খতিয়ান!C:C, A6, খতিয়ান!F:F) - SUMIF(খতিয়ান!C:C, A6, খতিয়ান!G:G)</f>
        <v>0</v>
      </c>
      <c r="F6" s="10" t="str">
        <f t="shared" si="0"/>
        <v/>
      </c>
    </row>
    <row r="7" spans="1:6" x14ac:dyDescent="0.55000000000000004">
      <c r="A7" s="8"/>
      <c r="B7" s="8"/>
      <c r="C7" s="8"/>
      <c r="D7" s="8"/>
      <c r="E7" s="9">
        <f>SUMIF(খতিয়ান!C:C, A7, খতিয়ান!F:F) - SUMIF(খতিয়ান!C:C, A7, খতিয়ান!G:G)</f>
        <v>0</v>
      </c>
      <c r="F7" s="10" t="str">
        <f t="shared" si="0"/>
        <v/>
      </c>
    </row>
    <row r="8" spans="1:6" x14ac:dyDescent="0.55000000000000004">
      <c r="A8" s="8"/>
      <c r="B8" s="8"/>
      <c r="C8" s="8"/>
      <c r="D8" s="8"/>
      <c r="E8" s="9">
        <f>SUMIF(খতিয়ান!C:C, A8, খতিয়ান!F:F) - SUMIF(খতিয়ান!C:C, A8, খতিয়ান!G:G)</f>
        <v>0</v>
      </c>
      <c r="F8" s="10" t="str">
        <f t="shared" si="0"/>
        <v/>
      </c>
    </row>
    <row r="9" spans="1:6" x14ac:dyDescent="0.55000000000000004">
      <c r="A9" s="8"/>
      <c r="B9" s="8"/>
      <c r="C9" s="8"/>
      <c r="D9" s="8"/>
      <c r="E9" s="9">
        <f>SUMIF(খতিয়ান!C:C, A9, খতিয়ান!F:F) - SUMIF(খতিয়ান!C:C, A9, খতিয়ান!G:G)</f>
        <v>0</v>
      </c>
      <c r="F9" s="10" t="str">
        <f t="shared" si="0"/>
        <v/>
      </c>
    </row>
    <row r="10" spans="1:6" x14ac:dyDescent="0.55000000000000004">
      <c r="A10" s="8"/>
      <c r="B10" s="8"/>
      <c r="C10" s="8"/>
      <c r="D10" s="8"/>
      <c r="E10" s="9">
        <f>SUMIF(খতিয়ান!C:C, A10, খতিয়ান!F:F) - SUMIF(খতিয়ান!C:C, A10, খতিয়ান!G:G)</f>
        <v>0</v>
      </c>
      <c r="F10" s="10" t="str">
        <f t="shared" si="0"/>
        <v/>
      </c>
    </row>
    <row r="11" spans="1:6" x14ac:dyDescent="0.55000000000000004">
      <c r="A11" s="8"/>
      <c r="B11" s="8"/>
      <c r="C11" s="8"/>
      <c r="D11" s="8"/>
      <c r="E11" s="9">
        <f>SUMIF(খতিয়ান!C:C, A11, খতিয়ান!F:F) - SUMIF(খতিয়ান!C:C, A11, খতিয়ান!G:G)</f>
        <v>0</v>
      </c>
      <c r="F11" s="10" t="str">
        <f t="shared" si="0"/>
        <v/>
      </c>
    </row>
    <row r="12" spans="1:6" x14ac:dyDescent="0.55000000000000004">
      <c r="A12" s="8"/>
      <c r="B12" s="8"/>
      <c r="C12" s="8"/>
      <c r="D12" s="8"/>
      <c r="E12" s="9">
        <f>SUMIF(খতিয়ান!C:C, A12, খতিয়ান!F:F) - SUMIF(খতিয়ান!C:C, A12, খতিয়ান!G:G)</f>
        <v>0</v>
      </c>
      <c r="F12" s="10" t="str">
        <f t="shared" si="0"/>
        <v/>
      </c>
    </row>
    <row r="13" spans="1:6" x14ac:dyDescent="0.55000000000000004">
      <c r="A13" s="8"/>
      <c r="B13" s="8"/>
      <c r="C13" s="8"/>
      <c r="D13" s="8"/>
      <c r="E13" s="9">
        <f>SUMIF(খতিয়ান!C:C, A13, খতিয়ান!F:F) - SUMIF(খতিয়ান!C:C, A13, খতিয়ান!G:G)</f>
        <v>0</v>
      </c>
      <c r="F13" s="10" t="str">
        <f t="shared" si="0"/>
        <v/>
      </c>
    </row>
    <row r="14" spans="1:6" x14ac:dyDescent="0.55000000000000004">
      <c r="A14" s="8"/>
      <c r="B14" s="8"/>
      <c r="C14" s="8"/>
      <c r="D14" s="8"/>
      <c r="E14" s="9">
        <f>SUMIF(খতিয়ান!C:C, A14, খতিয়ান!F:F) - SUMIF(খতিয়ান!C:C, A14, খতিয়ান!G:G)</f>
        <v>0</v>
      </c>
      <c r="F14" s="10" t="str">
        <f t="shared" si="0"/>
        <v/>
      </c>
    </row>
    <row r="15" spans="1:6" x14ac:dyDescent="0.55000000000000004">
      <c r="A15" s="8"/>
      <c r="B15" s="8"/>
      <c r="C15" s="8"/>
      <c r="D15" s="8"/>
      <c r="E15" s="9">
        <f>SUMIF(খতিয়ান!C:C, A15, খতিয়ান!F:F) - SUMIF(খতিয়ান!C:C, A15, খতিয়ান!G:G)</f>
        <v>0</v>
      </c>
      <c r="F15" s="10" t="str">
        <f t="shared" si="0"/>
        <v/>
      </c>
    </row>
    <row r="16" spans="1:6" x14ac:dyDescent="0.55000000000000004">
      <c r="A16" s="8"/>
      <c r="B16" s="8"/>
      <c r="C16" s="8"/>
      <c r="D16" s="8"/>
      <c r="E16" s="9">
        <f>SUMIF(খতিয়ান!C:C, A16, খতিয়ান!F:F) - SUMIF(খতিয়ান!C:C, A16, খতিয়ান!G:G)</f>
        <v>0</v>
      </c>
      <c r="F16" s="10" t="str">
        <f t="shared" si="0"/>
        <v/>
      </c>
    </row>
    <row r="17" spans="1:6" x14ac:dyDescent="0.55000000000000004">
      <c r="A17" s="8"/>
      <c r="B17" s="8"/>
      <c r="C17" s="8"/>
      <c r="D17" s="8"/>
      <c r="E17" s="9">
        <f>SUMIF(খতিয়ান!C:C, A17, খতিয়ান!F:F) - SUMIF(খতিয়ান!C:C, A17, খতিয়ান!G:G)</f>
        <v>0</v>
      </c>
      <c r="F17" s="10" t="str">
        <f t="shared" si="0"/>
        <v/>
      </c>
    </row>
    <row r="18" spans="1:6" x14ac:dyDescent="0.55000000000000004">
      <c r="A18" s="8"/>
      <c r="B18" s="8"/>
      <c r="C18" s="8"/>
      <c r="D18" s="8"/>
      <c r="E18" s="9">
        <f>SUMIF(খতিয়ান!C:C, A18, খতিয়ান!F:F) - SUMIF(খতিয়ান!C:C, A18, খতিয়ান!G:G)</f>
        <v>0</v>
      </c>
      <c r="F18" s="10" t="str">
        <f t="shared" si="0"/>
        <v/>
      </c>
    </row>
    <row r="19" spans="1:6" x14ac:dyDescent="0.55000000000000004">
      <c r="A19" s="8"/>
      <c r="B19" s="8"/>
      <c r="C19" s="8"/>
      <c r="D19" s="8"/>
      <c r="E19" s="9">
        <f>SUMIF(খতিয়ান!C:C, A19, খতিয়ান!F:F) - SUMIF(খতিয়ান!C:C, A19, খতিয়ান!G:G)</f>
        <v>0</v>
      </c>
      <c r="F19" s="10" t="str">
        <f t="shared" si="0"/>
        <v/>
      </c>
    </row>
    <row r="20" spans="1:6" x14ac:dyDescent="0.55000000000000004">
      <c r="A20" s="8"/>
      <c r="B20" s="8"/>
      <c r="C20" s="8"/>
      <c r="D20" s="8"/>
      <c r="E20" s="9">
        <f>SUMIF(খতিয়ান!C:C, A20, খতিয়ান!F:F) - SUMIF(খতিয়ান!C:C, A20, খতিয়ান!G:G)</f>
        <v>0</v>
      </c>
      <c r="F20" s="10" t="str">
        <f t="shared" si="0"/>
        <v/>
      </c>
    </row>
    <row r="21" spans="1:6" x14ac:dyDescent="0.55000000000000004">
      <c r="A21" s="8"/>
      <c r="B21" s="8"/>
      <c r="C21" s="8"/>
      <c r="D21" s="8"/>
      <c r="E21" s="9">
        <f>SUMIF(খতিয়ান!C:C, A21, খতিয়ান!F:F) - SUMIF(খতিয়ান!C:C, A21, খতিয়ান!G:G)</f>
        <v>0</v>
      </c>
      <c r="F21" s="10" t="str">
        <f t="shared" si="0"/>
        <v/>
      </c>
    </row>
    <row r="22" spans="1:6" x14ac:dyDescent="0.55000000000000004">
      <c r="A22" s="8"/>
      <c r="B22" s="8"/>
      <c r="C22" s="8"/>
      <c r="D22" s="8"/>
      <c r="E22" s="9">
        <f>SUMIF(খতিয়ান!C:C, A22, খতিয়ান!F:F) - SUMIF(খতিয়ান!C:C, A22, খতিয়ান!G:G)</f>
        <v>0</v>
      </c>
      <c r="F22" s="10" t="str">
        <f t="shared" si="0"/>
        <v/>
      </c>
    </row>
    <row r="23" spans="1:6" x14ac:dyDescent="0.55000000000000004">
      <c r="A23" s="8"/>
      <c r="B23" s="8"/>
      <c r="C23" s="8"/>
      <c r="D23" s="8"/>
      <c r="E23" s="9">
        <f>SUMIF(খতিয়ান!C:C, A23, খতিয়ান!F:F) - SUMIF(খতিয়ান!C:C, A23, খতিয়ান!G:G)</f>
        <v>0</v>
      </c>
      <c r="F23" s="10" t="str">
        <f t="shared" si="0"/>
        <v/>
      </c>
    </row>
    <row r="24" spans="1:6" x14ac:dyDescent="0.55000000000000004">
      <c r="A24" s="8"/>
      <c r="B24" s="8"/>
      <c r="C24" s="8"/>
      <c r="D24" s="8"/>
      <c r="E24" s="9">
        <f>SUMIF(খতিয়ান!C:C, A24, খতিয়ান!F:F) - SUMIF(খতিয়ান!C:C, A24, খতিয়ান!G:G)</f>
        <v>0</v>
      </c>
      <c r="F24" s="10" t="str">
        <f t="shared" si="0"/>
        <v/>
      </c>
    </row>
    <row r="25" spans="1:6" x14ac:dyDescent="0.55000000000000004">
      <c r="A25" s="8"/>
      <c r="B25" s="8"/>
      <c r="C25" s="8"/>
      <c r="D25" s="8"/>
      <c r="E25" s="9">
        <f>SUMIF(খতিয়ান!C:C, A25, খতিয়ান!F:F) - SUMIF(খতিয়ান!C:C, A25, খতিয়ান!G:G)</f>
        <v>0</v>
      </c>
      <c r="F25" s="10" t="str">
        <f t="shared" si="0"/>
        <v/>
      </c>
    </row>
    <row r="26" spans="1:6" x14ac:dyDescent="0.55000000000000004">
      <c r="A26" s="8"/>
      <c r="B26" s="8"/>
      <c r="C26" s="8"/>
      <c r="D26" s="8"/>
      <c r="E26" s="9">
        <f>SUMIF(খতিয়ান!C:C, A26, খতিয়ান!F:F) - SUMIF(খতিয়ান!C:C, A26, খতিয়ান!G:G)</f>
        <v>0</v>
      </c>
      <c r="F26" s="10" t="str">
        <f t="shared" si="0"/>
        <v/>
      </c>
    </row>
    <row r="27" spans="1:6" x14ac:dyDescent="0.55000000000000004">
      <c r="A27" s="8"/>
      <c r="B27" s="8"/>
      <c r="C27" s="8"/>
      <c r="D27" s="8"/>
      <c r="E27" s="9">
        <f>SUMIF(খতিয়ান!C:C, A27, খতিয়ান!F:F) - SUMIF(খতিয়ান!C:C, A27, খতিয়ান!G:G)</f>
        <v>0</v>
      </c>
      <c r="F27" s="10" t="str">
        <f t="shared" si="0"/>
        <v/>
      </c>
    </row>
    <row r="28" spans="1:6" x14ac:dyDescent="0.55000000000000004">
      <c r="A28" s="8"/>
      <c r="B28" s="8"/>
      <c r="C28" s="8"/>
      <c r="D28" s="8"/>
      <c r="E28" s="9">
        <f>SUMIF(খতিয়ান!C:C, A28, খতিয়ান!F:F) - SUMIF(খতিয়ান!C:C, A28, খতিয়ান!G:G)</f>
        <v>0</v>
      </c>
      <c r="F28" s="10" t="str">
        <f t="shared" si="0"/>
        <v/>
      </c>
    </row>
    <row r="29" spans="1:6" x14ac:dyDescent="0.55000000000000004">
      <c r="A29" s="8"/>
      <c r="B29" s="8"/>
      <c r="C29" s="8"/>
      <c r="D29" s="8"/>
      <c r="E29" s="9">
        <f>SUMIF(খতিয়ান!C:C, A29, খতিয়ান!F:F) - SUMIF(খতিয়ান!C:C, A29, খতিয়ান!G:G)</f>
        <v>0</v>
      </c>
      <c r="F29" s="10" t="str">
        <f t="shared" si="0"/>
        <v/>
      </c>
    </row>
    <row r="30" spans="1:6" x14ac:dyDescent="0.55000000000000004">
      <c r="A30" s="8"/>
      <c r="B30" s="8"/>
      <c r="C30" s="8"/>
      <c r="D30" s="8"/>
      <c r="E30" s="9">
        <f>SUMIF(খতিয়ান!C:C, A30, খতিয়ান!F:F) - SUMIF(খতিয়ান!C:C, A30, খতিয়ান!G:G)</f>
        <v>0</v>
      </c>
      <c r="F30" s="10" t="str">
        <f t="shared" si="0"/>
        <v/>
      </c>
    </row>
    <row r="31" spans="1:6" x14ac:dyDescent="0.55000000000000004">
      <c r="A31" s="8"/>
      <c r="B31" s="8"/>
      <c r="C31" s="8"/>
      <c r="D31" s="8"/>
      <c r="E31" s="9">
        <f>SUMIF(খতিয়ান!C:C, A31, খতিয়ান!F:F) - SUMIF(খতিয়ান!C:C, A31, খতিয়ান!G:G)</f>
        <v>0</v>
      </c>
      <c r="F31" s="10" t="str">
        <f t="shared" si="0"/>
        <v/>
      </c>
    </row>
    <row r="32" spans="1:6" x14ac:dyDescent="0.55000000000000004">
      <c r="A32" s="8"/>
      <c r="B32" s="8"/>
      <c r="C32" s="8"/>
      <c r="D32" s="8"/>
      <c r="E32" s="9">
        <f>SUMIF(খতিয়ান!C:C, A32, খতিয়ান!F:F) - SUMIF(খতিয়ান!C:C, A32, খতিয়ান!G:G)</f>
        <v>0</v>
      </c>
      <c r="F32" s="10" t="str">
        <f t="shared" si="0"/>
        <v/>
      </c>
    </row>
    <row r="33" spans="1:6" x14ac:dyDescent="0.55000000000000004">
      <c r="A33" s="8"/>
      <c r="B33" s="8"/>
      <c r="C33" s="8"/>
      <c r="D33" s="8"/>
      <c r="E33" s="9">
        <f>SUMIF(খতিয়ান!C:C, A33, খতিয়ান!F:F) - SUMIF(খতিয়ান!C:C, A33, খতিয়ান!G:G)</f>
        <v>0</v>
      </c>
      <c r="F33" s="10" t="str">
        <f t="shared" si="0"/>
        <v/>
      </c>
    </row>
    <row r="34" spans="1:6" x14ac:dyDescent="0.55000000000000004">
      <c r="A34" s="8"/>
      <c r="B34" s="8"/>
      <c r="C34" s="8"/>
      <c r="D34" s="8"/>
      <c r="E34" s="9">
        <f>SUMIF(খতিয়ান!C:C, A34, খতিয়ান!F:F) - SUMIF(খতিয়ান!C:C, A34, খতিয়ান!G:G)</f>
        <v>0</v>
      </c>
      <c r="F34" s="10" t="str">
        <f t="shared" si="0"/>
        <v/>
      </c>
    </row>
    <row r="35" spans="1:6" x14ac:dyDescent="0.55000000000000004">
      <c r="A35" s="8"/>
      <c r="B35" s="8"/>
      <c r="C35" s="8"/>
      <c r="D35" s="8"/>
      <c r="E35" s="9">
        <f>SUMIF(খতিয়ান!C:C, A35, খতিয়ান!F:F) - SUMIF(খতিয়ান!C:C, A35, খতিয়ান!G:G)</f>
        <v>0</v>
      </c>
      <c r="F35" s="10" t="str">
        <f t="shared" si="0"/>
        <v/>
      </c>
    </row>
    <row r="36" spans="1:6" x14ac:dyDescent="0.55000000000000004">
      <c r="A36" s="8"/>
      <c r="B36" s="8"/>
      <c r="C36" s="8"/>
      <c r="D36" s="8"/>
      <c r="E36" s="9">
        <f>SUMIF(খতিয়ান!C:C, A36, খতিয়ান!F:F) - SUMIF(খতিয়ান!C:C, A36, খতিয়ান!G:G)</f>
        <v>0</v>
      </c>
      <c r="F36" s="10" t="str">
        <f t="shared" si="0"/>
        <v/>
      </c>
    </row>
    <row r="37" spans="1:6" x14ac:dyDescent="0.55000000000000004">
      <c r="A37" s="8"/>
      <c r="B37" s="8"/>
      <c r="C37" s="8"/>
      <c r="D37" s="8"/>
      <c r="E37" s="9">
        <f>SUMIF(খতিয়ান!C:C, A37, খতিয়ান!F:F) - SUMIF(খতিয়ান!C:C, A37, খতিয়ান!G:G)</f>
        <v>0</v>
      </c>
      <c r="F37" s="10" t="str">
        <f t="shared" si="0"/>
        <v/>
      </c>
    </row>
    <row r="38" spans="1:6" x14ac:dyDescent="0.55000000000000004">
      <c r="A38" s="8"/>
      <c r="B38" s="8"/>
      <c r="C38" s="8"/>
      <c r="D38" s="8"/>
      <c r="E38" s="9">
        <f>SUMIF(খতিয়ান!C:C, A38, খতিয়ান!F:F) - SUMIF(খতিয়ান!C:C, A38, খতিয়ান!G:G)</f>
        <v>0</v>
      </c>
      <c r="F38" s="10" t="str">
        <f t="shared" si="0"/>
        <v/>
      </c>
    </row>
    <row r="39" spans="1:6" x14ac:dyDescent="0.55000000000000004">
      <c r="A39" s="8"/>
      <c r="B39" s="8"/>
      <c r="C39" s="8"/>
      <c r="D39" s="8"/>
      <c r="E39" s="9">
        <f>SUMIF(খতিয়ান!C:C, A39, খতিয়ান!F:F) - SUMIF(খতিয়ান!C:C, A39, খতিয়ান!G:G)</f>
        <v>0</v>
      </c>
      <c r="F39" s="10" t="str">
        <f t="shared" si="0"/>
        <v/>
      </c>
    </row>
    <row r="40" spans="1:6" x14ac:dyDescent="0.55000000000000004">
      <c r="A40" s="8"/>
      <c r="B40" s="8"/>
      <c r="C40" s="8"/>
      <c r="D40" s="8"/>
      <c r="E40" s="9">
        <f>SUMIF(খতিয়ান!C:C, A40, খতিয়ান!F:F) - SUMIF(খতিয়ান!C:C, A40, খতিয়ান!G:G)</f>
        <v>0</v>
      </c>
      <c r="F40" s="10" t="str">
        <f t="shared" si="0"/>
        <v/>
      </c>
    </row>
    <row r="41" spans="1:6" x14ac:dyDescent="0.55000000000000004">
      <c r="A41" s="8"/>
      <c r="B41" s="8"/>
      <c r="C41" s="8"/>
      <c r="D41" s="8"/>
      <c r="E41" s="9">
        <f>SUMIF(খতিয়ান!C:C, A41, খতিয়ান!F:F) - SUMIF(খতিয়ান!C:C, A41, খতিয়ান!G:G)</f>
        <v>0</v>
      </c>
      <c r="F41" s="10" t="str">
        <f t="shared" si="0"/>
        <v/>
      </c>
    </row>
    <row r="42" spans="1:6" x14ac:dyDescent="0.55000000000000004">
      <c r="A42" s="8"/>
      <c r="B42" s="8"/>
      <c r="C42" s="8"/>
      <c r="D42" s="8"/>
      <c r="E42" s="9">
        <f>SUMIF(খতিয়ান!C:C, A42, খতিয়ান!F:F) - SUMIF(খতিয়ান!C:C, A42, খতিয়ান!G:G)</f>
        <v>0</v>
      </c>
      <c r="F42" s="10" t="str">
        <f t="shared" si="0"/>
        <v/>
      </c>
    </row>
    <row r="43" spans="1:6" x14ac:dyDescent="0.55000000000000004">
      <c r="A43" s="8"/>
      <c r="B43" s="8"/>
      <c r="C43" s="8"/>
      <c r="D43" s="8"/>
      <c r="E43" s="9">
        <f>SUMIF(খতিয়ান!C:C, A43, খতিয়ান!F:F) - SUMIF(খতিয়ান!C:C, A43, খতিয়ান!G:G)</f>
        <v>0</v>
      </c>
      <c r="F43" s="10" t="str">
        <f t="shared" si="0"/>
        <v/>
      </c>
    </row>
    <row r="44" spans="1:6" x14ac:dyDescent="0.55000000000000004">
      <c r="A44" s="8"/>
      <c r="B44" s="8"/>
      <c r="C44" s="8"/>
      <c r="D44" s="8"/>
      <c r="E44" s="9">
        <f>SUMIF(খতিয়ান!C:C, A44, খতিয়ান!F:F) - SUMIF(খতিয়ান!C:C, A44, খতিয়ান!G:G)</f>
        <v>0</v>
      </c>
      <c r="F44" s="10" t="str">
        <f t="shared" si="0"/>
        <v/>
      </c>
    </row>
    <row r="45" spans="1:6" x14ac:dyDescent="0.55000000000000004">
      <c r="A45" s="8"/>
      <c r="B45" s="8"/>
      <c r="C45" s="8"/>
      <c r="D45" s="8"/>
      <c r="E45" s="9">
        <f>SUMIF(খতিয়ান!C:C, A45, খতিয়ান!F:F) - SUMIF(খতিয়ান!C:C, A45, খতিয়ান!G:G)</f>
        <v>0</v>
      </c>
      <c r="F45" s="10" t="str">
        <f t="shared" si="0"/>
        <v/>
      </c>
    </row>
    <row r="46" spans="1:6" x14ac:dyDescent="0.55000000000000004">
      <c r="A46" s="8"/>
      <c r="B46" s="8"/>
      <c r="C46" s="8"/>
      <c r="D46" s="8"/>
      <c r="E46" s="9">
        <f>SUMIF(খতিয়ান!C:C, A46, খতিয়ান!F:F) - SUMIF(খতিয়ান!C:C, A46, খতিয়ান!G:G)</f>
        <v>0</v>
      </c>
      <c r="F46" s="10" t="str">
        <f t="shared" si="0"/>
        <v/>
      </c>
    </row>
    <row r="47" spans="1:6" x14ac:dyDescent="0.55000000000000004">
      <c r="A47" s="8"/>
      <c r="B47" s="8"/>
      <c r="C47" s="8"/>
      <c r="D47" s="8"/>
      <c r="E47" s="9">
        <f>SUMIF(খতিয়ান!C:C, A47, খতিয়ান!F:F) - SUMIF(খতিয়ান!C:C, A47, খতিয়ান!G:G)</f>
        <v>0</v>
      </c>
      <c r="F47" s="10" t="str">
        <f t="shared" si="0"/>
        <v/>
      </c>
    </row>
    <row r="48" spans="1:6" x14ac:dyDescent="0.55000000000000004">
      <c r="A48" s="8"/>
      <c r="B48" s="8"/>
      <c r="C48" s="8"/>
      <c r="D48" s="8"/>
      <c r="E48" s="9">
        <f>SUMIF(খতিয়ান!C:C, A48, খতিয়ান!F:F) - SUMIF(খতিয়ান!C:C, A48, খতিয়ান!G:G)</f>
        <v>0</v>
      </c>
      <c r="F48" s="10" t="str">
        <f t="shared" si="0"/>
        <v/>
      </c>
    </row>
    <row r="49" spans="1:6" x14ac:dyDescent="0.55000000000000004">
      <c r="A49" s="8"/>
      <c r="B49" s="8"/>
      <c r="C49" s="8"/>
      <c r="D49" s="8"/>
      <c r="E49" s="9">
        <f>SUMIF(খতিয়ান!C:C, A49, খতিয়ান!F:F) - SUMIF(খতিয়ান!C:C, A49, খতিয়ান!G:G)</f>
        <v>0</v>
      </c>
      <c r="F49" s="10" t="str">
        <f t="shared" si="0"/>
        <v/>
      </c>
    </row>
    <row r="50" spans="1:6" x14ac:dyDescent="0.55000000000000004">
      <c r="A50" s="8"/>
      <c r="B50" s="8"/>
      <c r="C50" s="8"/>
      <c r="D50" s="8"/>
      <c r="E50" s="9">
        <f>SUMIF(খতিয়ান!C:C, A50, খতিয়ান!F:F) - SUMIF(খতিয়ান!C:C, A50, খতিয়ান!G:G)</f>
        <v>0</v>
      </c>
      <c r="F50" s="10" t="str">
        <f t="shared" si="0"/>
        <v/>
      </c>
    </row>
    <row r="51" spans="1:6" x14ac:dyDescent="0.55000000000000004">
      <c r="A51" s="8"/>
      <c r="B51" s="8"/>
      <c r="C51" s="8"/>
      <c r="D51" s="8"/>
      <c r="E51" s="9">
        <f>SUMIF(খতিয়ান!C:C, A51, খতিয়ান!F:F) - SUMIF(খতিয়ান!C:C, A51, খতিয়ান!G:G)</f>
        <v>0</v>
      </c>
      <c r="F51" s="10" t="str">
        <f t="shared" si="0"/>
        <v/>
      </c>
    </row>
    <row r="52" spans="1:6" x14ac:dyDescent="0.55000000000000004">
      <c r="A52" s="8"/>
      <c r="B52" s="8"/>
      <c r="C52" s="8"/>
      <c r="D52" s="8"/>
      <c r="E52" s="9">
        <f>SUMIF(খতিয়ান!C:C, A52, খতিয়ান!F:F) - SUMIF(খতিয়ান!C:C, A52, খতিয়ান!G:G)</f>
        <v>0</v>
      </c>
      <c r="F52" s="10" t="str">
        <f t="shared" si="0"/>
        <v/>
      </c>
    </row>
    <row r="53" spans="1:6" x14ac:dyDescent="0.55000000000000004">
      <c r="A53" s="8"/>
      <c r="B53" s="8"/>
      <c r="C53" s="8"/>
      <c r="D53" s="8"/>
      <c r="E53" s="9">
        <f>SUMIF(খতিয়ান!C:C, A53, খতিয়ান!F:F) - SUMIF(খতিয়ান!C:C, A53, খতিয়ান!G:G)</f>
        <v>0</v>
      </c>
      <c r="F53" s="10" t="str">
        <f t="shared" si="0"/>
        <v/>
      </c>
    </row>
    <row r="54" spans="1:6" x14ac:dyDescent="0.55000000000000004">
      <c r="A54" s="8"/>
      <c r="B54" s="8"/>
      <c r="C54" s="8"/>
      <c r="D54" s="8"/>
      <c r="E54" s="9">
        <f>SUMIF(খতিয়ান!C:C, A54, খতিয়ান!F:F) - SUMIF(খতিয়ান!C:C, A54, খতিয়ান!G:G)</f>
        <v>0</v>
      </c>
      <c r="F54" s="10" t="str">
        <f t="shared" si="0"/>
        <v/>
      </c>
    </row>
    <row r="55" spans="1:6" x14ac:dyDescent="0.55000000000000004">
      <c r="A55" s="8"/>
      <c r="B55" s="8"/>
      <c r="C55" s="8"/>
      <c r="D55" s="8"/>
      <c r="E55" s="9">
        <f>SUMIF(খতিয়ান!C:C, A55, খতিয়ান!F:F) - SUMIF(খতিয়ান!C:C, A55, খতিয়ান!G:G)</f>
        <v>0</v>
      </c>
      <c r="F55" s="10" t="str">
        <f t="shared" si="0"/>
        <v/>
      </c>
    </row>
    <row r="56" spans="1:6" x14ac:dyDescent="0.55000000000000004">
      <c r="A56" s="8"/>
      <c r="B56" s="8"/>
      <c r="C56" s="8"/>
      <c r="D56" s="8"/>
      <c r="E56" s="9">
        <f>SUMIF(খতিয়ান!C:C, A56, খতিয়ান!F:F) - SUMIF(খতিয়ান!C:C, A56, খতিয়ান!G:G)</f>
        <v>0</v>
      </c>
      <c r="F56" s="10" t="str">
        <f t="shared" si="0"/>
        <v/>
      </c>
    </row>
    <row r="57" spans="1:6" x14ac:dyDescent="0.55000000000000004">
      <c r="A57" s="8"/>
      <c r="B57" s="8"/>
      <c r="C57" s="8"/>
      <c r="D57" s="8"/>
      <c r="E57" s="9">
        <f>SUMIF(খতিয়ান!C:C, A57, খতিয়ান!F:F) - SUMIF(খতিয়ান!C:C, A57, খতিয়ান!G:G)</f>
        <v>0</v>
      </c>
      <c r="F57" s="10" t="str">
        <f t="shared" si="0"/>
        <v/>
      </c>
    </row>
    <row r="58" spans="1:6" x14ac:dyDescent="0.55000000000000004">
      <c r="A58" s="8"/>
      <c r="B58" s="8"/>
      <c r="C58" s="8"/>
      <c r="D58" s="8"/>
      <c r="E58" s="9">
        <f>SUMIF(খতিয়ান!C:C, A58, খতিয়ান!F:F) - SUMIF(খতিয়ান!C:C, A58, খতিয়ান!G:G)</f>
        <v>0</v>
      </c>
      <c r="F58" s="10" t="str">
        <f t="shared" si="0"/>
        <v/>
      </c>
    </row>
    <row r="59" spans="1:6" x14ac:dyDescent="0.55000000000000004">
      <c r="A59" s="8"/>
      <c r="B59" s="8"/>
      <c r="C59" s="8"/>
      <c r="D59" s="8"/>
      <c r="E59" s="9">
        <f>SUMIF(খতিয়ান!C:C, A59, খতিয়ান!F:F) - SUMIF(খতিয়ান!C:C, A59, খতিয়ান!G:G)</f>
        <v>0</v>
      </c>
      <c r="F59" s="10" t="str">
        <f t="shared" si="0"/>
        <v/>
      </c>
    </row>
    <row r="60" spans="1:6" x14ac:dyDescent="0.55000000000000004">
      <c r="A60" s="8"/>
      <c r="B60" s="8"/>
      <c r="C60" s="8"/>
      <c r="D60" s="8"/>
      <c r="E60" s="9">
        <f>SUMIF(খতিয়ান!C:C, A60, খতিয়ান!F:F) - SUMIF(খতিয়ান!C:C, A60, খতিয়ান!G:G)</f>
        <v>0</v>
      </c>
      <c r="F60" s="10" t="str">
        <f t="shared" si="0"/>
        <v/>
      </c>
    </row>
    <row r="61" spans="1:6" x14ac:dyDescent="0.55000000000000004">
      <c r="A61" s="8"/>
      <c r="B61" s="8"/>
      <c r="C61" s="8"/>
      <c r="D61" s="8"/>
      <c r="E61" s="9">
        <f>SUMIF(খতিয়ান!C:C, A61, খতিয়ান!F:F) - SUMIF(খতিয়ান!C:C, A61, খতিয়ান!G:G)</f>
        <v>0</v>
      </c>
      <c r="F61" s="10" t="str">
        <f t="shared" si="0"/>
        <v/>
      </c>
    </row>
    <row r="62" spans="1:6" x14ac:dyDescent="0.55000000000000004">
      <c r="A62" s="8"/>
      <c r="B62" s="8"/>
      <c r="C62" s="8"/>
      <c r="D62" s="8"/>
      <c r="E62" s="9">
        <f>SUMIF(খতিয়ান!C:C, A62, খতিয়ান!F:F) - SUMIF(খতিয়ান!C:C, A62, খতিয়ান!G:G)</f>
        <v>0</v>
      </c>
      <c r="F62" s="10" t="str">
        <f t="shared" si="0"/>
        <v/>
      </c>
    </row>
    <row r="63" spans="1:6" x14ac:dyDescent="0.55000000000000004">
      <c r="A63" s="8"/>
      <c r="B63" s="8"/>
      <c r="C63" s="8"/>
      <c r="D63" s="8"/>
      <c r="E63" s="9">
        <f>SUMIF(খতিয়ান!C:C, A63, খতিয়ান!F:F) - SUMIF(খতিয়ান!C:C, A63, খতিয়ান!G:G)</f>
        <v>0</v>
      </c>
      <c r="F63" s="10" t="str">
        <f t="shared" si="0"/>
        <v/>
      </c>
    </row>
    <row r="64" spans="1:6" x14ac:dyDescent="0.55000000000000004">
      <c r="A64" s="8"/>
      <c r="B64" s="8"/>
      <c r="C64" s="8"/>
      <c r="D64" s="8"/>
      <c r="E64" s="9">
        <f>SUMIF(খতিয়ান!C:C, A64, খতিয়ান!F:F) - SUMIF(খতিয়ান!C:C, A64, খতিয়ান!G:G)</f>
        <v>0</v>
      </c>
      <c r="F64" s="10" t="str">
        <f t="shared" si="0"/>
        <v/>
      </c>
    </row>
    <row r="65" spans="1:6" x14ac:dyDescent="0.55000000000000004">
      <c r="A65" s="8"/>
      <c r="B65" s="8"/>
      <c r="C65" s="8"/>
      <c r="D65" s="8"/>
      <c r="E65" s="9">
        <f>SUMIF(খতিয়ান!C:C, A65, খতিয়ান!F:F) - SUMIF(খতিয়ান!C:C, A65, খতিয়ান!G:G)</f>
        <v>0</v>
      </c>
      <c r="F65" s="10" t="str">
        <f t="shared" si="0"/>
        <v/>
      </c>
    </row>
    <row r="66" spans="1:6" x14ac:dyDescent="0.55000000000000004">
      <c r="A66" s="8"/>
      <c r="B66" s="8"/>
      <c r="C66" s="8"/>
      <c r="D66" s="8"/>
      <c r="E66" s="9">
        <f>SUMIF(খতিয়ান!C:C, A66, খতিয়ান!F:F) - SUMIF(খতিয়ান!C:C, A66, খতিয়ান!G:G)</f>
        <v>0</v>
      </c>
      <c r="F66" s="10" t="str">
        <f t="shared" si="0"/>
        <v/>
      </c>
    </row>
    <row r="67" spans="1:6" x14ac:dyDescent="0.55000000000000004">
      <c r="A67" s="8"/>
      <c r="B67" s="8"/>
      <c r="C67" s="8"/>
      <c r="D67" s="8"/>
      <c r="E67" s="9">
        <f>SUMIF(খতিয়ান!C:C, A67, খতিয়ান!F:F) - SUMIF(খতিয়ান!C:C, A67, খতিয়ান!G:G)</f>
        <v>0</v>
      </c>
      <c r="F67" s="10" t="str">
        <f t="shared" si="0"/>
        <v/>
      </c>
    </row>
    <row r="68" spans="1:6" x14ac:dyDescent="0.55000000000000004">
      <c r="A68" s="8"/>
      <c r="B68" s="8"/>
      <c r="C68" s="8"/>
      <c r="D68" s="8"/>
      <c r="E68" s="9">
        <f>SUMIF(খতিয়ান!C:C, A68, খতিয়ান!F:F) - SUMIF(খতিয়ান!C:C, A68, খতিয়ান!G:G)</f>
        <v>0</v>
      </c>
      <c r="F68" s="10" t="str">
        <f t="shared" ref="F68:F131" si="1">IF(OR(ISBLANK(C68), E68&lt;=0), "", HYPERLINK("https://wa.me/88"&amp;C68&amp;"?text=আসসালামু আলাইকুম "&amp;B68&amp;", আপনার মোট বকেয়া "&amp;TEXT(E68,"0")&amp;" টাকা। অনুগ্রহ করে পরিশোধ করবেন।", "✉️ মেসেজ পাঠান"))</f>
        <v/>
      </c>
    </row>
    <row r="69" spans="1:6" x14ac:dyDescent="0.55000000000000004">
      <c r="A69" s="8"/>
      <c r="B69" s="8"/>
      <c r="C69" s="8"/>
      <c r="D69" s="8"/>
      <c r="E69" s="9">
        <f>SUMIF(খতিয়ান!C:C, A69, খতিয়ান!F:F) - SUMIF(খতিয়ান!C:C, A69, খতিয়ান!G:G)</f>
        <v>0</v>
      </c>
      <c r="F69" s="10" t="str">
        <f t="shared" si="1"/>
        <v/>
      </c>
    </row>
    <row r="70" spans="1:6" x14ac:dyDescent="0.55000000000000004">
      <c r="A70" s="8"/>
      <c r="B70" s="8"/>
      <c r="C70" s="8"/>
      <c r="D70" s="8"/>
      <c r="E70" s="9">
        <f>SUMIF(খতিয়ান!C:C, A70, খতিয়ান!F:F) - SUMIF(খতিয়ান!C:C, A70, খতিয়ান!G:G)</f>
        <v>0</v>
      </c>
      <c r="F70" s="10" t="str">
        <f t="shared" si="1"/>
        <v/>
      </c>
    </row>
    <row r="71" spans="1:6" x14ac:dyDescent="0.55000000000000004">
      <c r="A71" s="8"/>
      <c r="B71" s="8"/>
      <c r="C71" s="8"/>
      <c r="D71" s="8"/>
      <c r="E71" s="9">
        <f>SUMIF(খতিয়ান!C:C, A71, খতিয়ান!F:F) - SUMIF(খতিয়ান!C:C, A71, খতিয়ান!G:G)</f>
        <v>0</v>
      </c>
      <c r="F71" s="10" t="str">
        <f t="shared" si="1"/>
        <v/>
      </c>
    </row>
    <row r="72" spans="1:6" x14ac:dyDescent="0.55000000000000004">
      <c r="A72" s="8"/>
      <c r="B72" s="8"/>
      <c r="C72" s="8"/>
      <c r="D72" s="8"/>
      <c r="E72" s="9">
        <f>SUMIF(খতিয়ান!C:C, A72, খতিয়ান!F:F) - SUMIF(খতিয়ান!C:C, A72, খতিয়ান!G:G)</f>
        <v>0</v>
      </c>
      <c r="F72" s="10" t="str">
        <f t="shared" si="1"/>
        <v/>
      </c>
    </row>
    <row r="73" spans="1:6" x14ac:dyDescent="0.55000000000000004">
      <c r="A73" s="8"/>
      <c r="B73" s="8"/>
      <c r="C73" s="8"/>
      <c r="D73" s="8"/>
      <c r="E73" s="9">
        <f>SUMIF(খতিয়ান!C:C, A73, খতিয়ান!F:F) - SUMIF(খতিয়ান!C:C, A73, খতিয়ান!G:G)</f>
        <v>0</v>
      </c>
      <c r="F73" s="10" t="str">
        <f t="shared" si="1"/>
        <v/>
      </c>
    </row>
    <row r="74" spans="1:6" x14ac:dyDescent="0.55000000000000004">
      <c r="A74" s="8"/>
      <c r="B74" s="8"/>
      <c r="C74" s="8"/>
      <c r="D74" s="8"/>
      <c r="E74" s="9">
        <f>SUMIF(খতিয়ান!C:C, A74, খতিয়ান!F:F) - SUMIF(খতিয়ান!C:C, A74, খতিয়ান!G:G)</f>
        <v>0</v>
      </c>
      <c r="F74" s="10" t="str">
        <f t="shared" si="1"/>
        <v/>
      </c>
    </row>
    <row r="75" spans="1:6" x14ac:dyDescent="0.55000000000000004">
      <c r="A75" s="8"/>
      <c r="B75" s="8"/>
      <c r="C75" s="8"/>
      <c r="D75" s="8"/>
      <c r="E75" s="9">
        <f>SUMIF(খতিয়ান!C:C, A75, খতিয়ান!F:F) - SUMIF(খতিয়ান!C:C, A75, খতিয়ান!G:G)</f>
        <v>0</v>
      </c>
      <c r="F75" s="10" t="str">
        <f t="shared" si="1"/>
        <v/>
      </c>
    </row>
    <row r="76" spans="1:6" x14ac:dyDescent="0.55000000000000004">
      <c r="A76" s="8"/>
      <c r="B76" s="8"/>
      <c r="C76" s="8"/>
      <c r="D76" s="8"/>
      <c r="E76" s="9">
        <f>SUMIF(খতিয়ান!C:C, A76, খতিয়ান!F:F) - SUMIF(খতিয়ান!C:C, A76, খতিয়ান!G:G)</f>
        <v>0</v>
      </c>
      <c r="F76" s="10" t="str">
        <f t="shared" si="1"/>
        <v/>
      </c>
    </row>
    <row r="77" spans="1:6" x14ac:dyDescent="0.55000000000000004">
      <c r="A77" s="8"/>
      <c r="B77" s="8"/>
      <c r="C77" s="8"/>
      <c r="D77" s="8"/>
      <c r="E77" s="9">
        <f>SUMIF(খতিয়ান!C:C, A77, খতিয়ান!F:F) - SUMIF(খতিয়ান!C:C, A77, খতিয়ান!G:G)</f>
        <v>0</v>
      </c>
      <c r="F77" s="10" t="str">
        <f t="shared" si="1"/>
        <v/>
      </c>
    </row>
    <row r="78" spans="1:6" x14ac:dyDescent="0.55000000000000004">
      <c r="A78" s="8"/>
      <c r="B78" s="8"/>
      <c r="C78" s="8"/>
      <c r="D78" s="8"/>
      <c r="E78" s="9">
        <f>SUMIF(খতিয়ান!C:C, A78, খতিয়ান!F:F) - SUMIF(খতিয়ান!C:C, A78, খতিয়ান!G:G)</f>
        <v>0</v>
      </c>
      <c r="F78" s="10" t="str">
        <f t="shared" si="1"/>
        <v/>
      </c>
    </row>
    <row r="79" spans="1:6" x14ac:dyDescent="0.55000000000000004">
      <c r="A79" s="8"/>
      <c r="B79" s="8"/>
      <c r="C79" s="8"/>
      <c r="D79" s="8"/>
      <c r="E79" s="9">
        <f>SUMIF(খতিয়ান!C:C, A79, খতিয়ান!F:F) - SUMIF(খতিয়ান!C:C, A79, খতিয়ান!G:G)</f>
        <v>0</v>
      </c>
      <c r="F79" s="10" t="str">
        <f t="shared" si="1"/>
        <v/>
      </c>
    </row>
    <row r="80" spans="1:6" x14ac:dyDescent="0.55000000000000004">
      <c r="A80" s="8"/>
      <c r="B80" s="8"/>
      <c r="C80" s="8"/>
      <c r="D80" s="8"/>
      <c r="E80" s="9">
        <f>SUMIF(খতিয়ান!C:C, A80, খতিয়ান!F:F) - SUMIF(খতিয়ান!C:C, A80, খতিয়ান!G:G)</f>
        <v>0</v>
      </c>
      <c r="F80" s="10" t="str">
        <f t="shared" si="1"/>
        <v/>
      </c>
    </row>
    <row r="81" spans="1:6" x14ac:dyDescent="0.55000000000000004">
      <c r="A81" s="8"/>
      <c r="B81" s="8"/>
      <c r="C81" s="8"/>
      <c r="D81" s="8"/>
      <c r="E81" s="9">
        <f>SUMIF(খতিয়ান!C:C, A81, খতিয়ান!F:F) - SUMIF(খতিয়ান!C:C, A81, খতিয়ান!G:G)</f>
        <v>0</v>
      </c>
      <c r="F81" s="10" t="str">
        <f t="shared" si="1"/>
        <v/>
      </c>
    </row>
    <row r="82" spans="1:6" x14ac:dyDescent="0.55000000000000004">
      <c r="A82" s="8"/>
      <c r="B82" s="8"/>
      <c r="C82" s="8"/>
      <c r="D82" s="8"/>
      <c r="E82" s="9">
        <f>SUMIF(খতিয়ান!C:C, A82, খতিয়ান!F:F) - SUMIF(খতিয়ান!C:C, A82, খতিয়ান!G:G)</f>
        <v>0</v>
      </c>
      <c r="F82" s="10" t="str">
        <f t="shared" si="1"/>
        <v/>
      </c>
    </row>
    <row r="83" spans="1:6" x14ac:dyDescent="0.55000000000000004">
      <c r="A83" s="8"/>
      <c r="B83" s="8"/>
      <c r="C83" s="8"/>
      <c r="D83" s="8"/>
      <c r="E83" s="9">
        <f>SUMIF(খতিয়ান!C:C, A83, খতিয়ান!F:F) - SUMIF(খতিয়ান!C:C, A83, খতিয়ান!G:G)</f>
        <v>0</v>
      </c>
      <c r="F83" s="10" t="str">
        <f t="shared" si="1"/>
        <v/>
      </c>
    </row>
    <row r="84" spans="1:6" x14ac:dyDescent="0.55000000000000004">
      <c r="A84" s="8"/>
      <c r="B84" s="8"/>
      <c r="C84" s="8"/>
      <c r="D84" s="8"/>
      <c r="E84" s="9">
        <f>SUMIF(খতিয়ান!C:C, A84, খতিয়ান!F:F) - SUMIF(খতিয়ান!C:C, A84, খতিয়ান!G:G)</f>
        <v>0</v>
      </c>
      <c r="F84" s="10" t="str">
        <f t="shared" si="1"/>
        <v/>
      </c>
    </row>
    <row r="85" spans="1:6" x14ac:dyDescent="0.55000000000000004">
      <c r="A85" s="8"/>
      <c r="B85" s="8"/>
      <c r="C85" s="8"/>
      <c r="D85" s="8"/>
      <c r="E85" s="9">
        <f>SUMIF(খতিয়ান!C:C, A85, খতিয়ান!F:F) - SUMIF(খতিয়ান!C:C, A85, খতিয়ান!G:G)</f>
        <v>0</v>
      </c>
      <c r="F85" s="10" t="str">
        <f t="shared" si="1"/>
        <v/>
      </c>
    </row>
    <row r="86" spans="1:6" x14ac:dyDescent="0.55000000000000004">
      <c r="A86" s="8"/>
      <c r="B86" s="8"/>
      <c r="C86" s="8"/>
      <c r="D86" s="8"/>
      <c r="E86" s="9">
        <f>SUMIF(খতিয়ান!C:C, A86, খতিয়ান!F:F) - SUMIF(খতিয়ান!C:C, A86, খতিয়ান!G:G)</f>
        <v>0</v>
      </c>
      <c r="F86" s="10" t="str">
        <f t="shared" si="1"/>
        <v/>
      </c>
    </row>
    <row r="87" spans="1:6" x14ac:dyDescent="0.55000000000000004">
      <c r="A87" s="8"/>
      <c r="B87" s="8"/>
      <c r="C87" s="8"/>
      <c r="D87" s="8"/>
      <c r="E87" s="9">
        <f>SUMIF(খতিয়ান!C:C, A87, খতিয়ান!F:F) - SUMIF(খতিয়ান!C:C, A87, খতিয়ান!G:G)</f>
        <v>0</v>
      </c>
      <c r="F87" s="10" t="str">
        <f t="shared" si="1"/>
        <v/>
      </c>
    </row>
    <row r="88" spans="1:6" x14ac:dyDescent="0.55000000000000004">
      <c r="A88" s="8"/>
      <c r="B88" s="8"/>
      <c r="C88" s="8"/>
      <c r="D88" s="8"/>
      <c r="E88" s="9">
        <f>SUMIF(খতিয়ান!C:C, A88, খতিয়ান!F:F) - SUMIF(খতিয়ান!C:C, A88, খতিয়ান!G:G)</f>
        <v>0</v>
      </c>
      <c r="F88" s="10" t="str">
        <f t="shared" si="1"/>
        <v/>
      </c>
    </row>
    <row r="89" spans="1:6" x14ac:dyDescent="0.55000000000000004">
      <c r="A89" s="8"/>
      <c r="B89" s="8"/>
      <c r="C89" s="8"/>
      <c r="D89" s="8"/>
      <c r="E89" s="9">
        <f>SUMIF(খতিয়ান!C:C, A89, খতিয়ান!F:F) - SUMIF(খতিয়ান!C:C, A89, খতিয়ান!G:G)</f>
        <v>0</v>
      </c>
      <c r="F89" s="10" t="str">
        <f t="shared" si="1"/>
        <v/>
      </c>
    </row>
    <row r="90" spans="1:6" x14ac:dyDescent="0.55000000000000004">
      <c r="A90" s="8"/>
      <c r="B90" s="8"/>
      <c r="C90" s="8"/>
      <c r="D90" s="8"/>
      <c r="E90" s="9">
        <f>SUMIF(খতিয়ান!C:C, A90, খতিয়ান!F:F) - SUMIF(খতিয়ান!C:C, A90, খতিয়ান!G:G)</f>
        <v>0</v>
      </c>
      <c r="F90" s="10" t="str">
        <f t="shared" si="1"/>
        <v/>
      </c>
    </row>
    <row r="91" spans="1:6" x14ac:dyDescent="0.55000000000000004">
      <c r="A91" s="8"/>
      <c r="B91" s="8"/>
      <c r="C91" s="8"/>
      <c r="D91" s="8"/>
      <c r="E91" s="9">
        <f>SUMIF(খতিয়ান!C:C, A91, খতিয়ান!F:F) - SUMIF(খতিয়ান!C:C, A91, খতিয়ান!G:G)</f>
        <v>0</v>
      </c>
      <c r="F91" s="10" t="str">
        <f t="shared" si="1"/>
        <v/>
      </c>
    </row>
    <row r="92" spans="1:6" x14ac:dyDescent="0.55000000000000004">
      <c r="A92" s="8"/>
      <c r="B92" s="8"/>
      <c r="C92" s="8"/>
      <c r="D92" s="8"/>
      <c r="E92" s="9">
        <f>SUMIF(খতিয়ান!C:C, A92, খতিয়ান!F:F) - SUMIF(খতিয়ান!C:C, A92, খতিয়ান!G:G)</f>
        <v>0</v>
      </c>
      <c r="F92" s="10" t="str">
        <f t="shared" si="1"/>
        <v/>
      </c>
    </row>
    <row r="93" spans="1:6" x14ac:dyDescent="0.55000000000000004">
      <c r="A93" s="8"/>
      <c r="B93" s="8"/>
      <c r="C93" s="8"/>
      <c r="D93" s="8"/>
      <c r="E93" s="9">
        <f>SUMIF(খতিয়ান!C:C, A93, খতিয়ান!F:F) - SUMIF(খতিয়ান!C:C, A93, খতিয়ান!G:G)</f>
        <v>0</v>
      </c>
      <c r="F93" s="10" t="str">
        <f t="shared" si="1"/>
        <v/>
      </c>
    </row>
    <row r="94" spans="1:6" x14ac:dyDescent="0.55000000000000004">
      <c r="A94" s="8"/>
      <c r="B94" s="8"/>
      <c r="C94" s="8"/>
      <c r="D94" s="8"/>
      <c r="E94" s="9">
        <f>SUMIF(খতিয়ান!C:C, A94, খতিয়ান!F:F) - SUMIF(খতিয়ান!C:C, A94, খতিয়ান!G:G)</f>
        <v>0</v>
      </c>
      <c r="F94" s="10" t="str">
        <f t="shared" si="1"/>
        <v/>
      </c>
    </row>
    <row r="95" spans="1:6" x14ac:dyDescent="0.55000000000000004">
      <c r="A95" s="8"/>
      <c r="B95" s="8"/>
      <c r="C95" s="8"/>
      <c r="D95" s="8"/>
      <c r="E95" s="9">
        <f>SUMIF(খতিয়ান!C:C, A95, খতিয়ান!F:F) - SUMIF(খতিয়ান!C:C, A95, খতিয়ান!G:G)</f>
        <v>0</v>
      </c>
      <c r="F95" s="10" t="str">
        <f t="shared" si="1"/>
        <v/>
      </c>
    </row>
    <row r="96" spans="1:6" x14ac:dyDescent="0.55000000000000004">
      <c r="A96" s="8"/>
      <c r="B96" s="8"/>
      <c r="C96" s="8"/>
      <c r="D96" s="8"/>
      <c r="E96" s="9">
        <f>SUMIF(খতিয়ান!C:C, A96, খতিয়ান!F:F) - SUMIF(খতিয়ান!C:C, A96, খতিয়ান!G:G)</f>
        <v>0</v>
      </c>
      <c r="F96" s="10" t="str">
        <f t="shared" si="1"/>
        <v/>
      </c>
    </row>
    <row r="97" spans="1:6" x14ac:dyDescent="0.55000000000000004">
      <c r="A97" s="8"/>
      <c r="B97" s="8"/>
      <c r="C97" s="8"/>
      <c r="D97" s="8"/>
      <c r="E97" s="9">
        <f>SUMIF(খতিয়ান!C:C, A97, খতিয়ান!F:F) - SUMIF(খতিয়ান!C:C, A97, খতিয়ান!G:G)</f>
        <v>0</v>
      </c>
      <c r="F97" s="10" t="str">
        <f t="shared" si="1"/>
        <v/>
      </c>
    </row>
    <row r="98" spans="1:6" x14ac:dyDescent="0.55000000000000004">
      <c r="A98" s="8"/>
      <c r="B98" s="8"/>
      <c r="C98" s="8"/>
      <c r="D98" s="8"/>
      <c r="E98" s="9">
        <f>SUMIF(খতিয়ান!C:C, A98, খতিয়ান!F:F) - SUMIF(খতিয়ান!C:C, A98, খতিয়ান!G:G)</f>
        <v>0</v>
      </c>
      <c r="F98" s="10" t="str">
        <f t="shared" si="1"/>
        <v/>
      </c>
    </row>
    <row r="99" spans="1:6" x14ac:dyDescent="0.55000000000000004">
      <c r="A99" s="8"/>
      <c r="B99" s="8"/>
      <c r="C99" s="8"/>
      <c r="D99" s="8"/>
      <c r="E99" s="9">
        <f>SUMIF(খতিয়ান!C:C, A99, খতিয়ান!F:F) - SUMIF(খতিয়ান!C:C, A99, খতিয়ান!G:G)</f>
        <v>0</v>
      </c>
      <c r="F99" s="10" t="str">
        <f t="shared" si="1"/>
        <v/>
      </c>
    </row>
    <row r="100" spans="1:6" x14ac:dyDescent="0.55000000000000004">
      <c r="A100" s="8"/>
      <c r="B100" s="8"/>
      <c r="C100" s="8"/>
      <c r="D100" s="8"/>
      <c r="E100" s="9">
        <f>SUMIF(খতিয়ান!C:C, A100, খতিয়ান!F:F) - SUMIF(খতিয়ান!C:C, A100, খতিয়ান!G:G)</f>
        <v>0</v>
      </c>
      <c r="F100" s="10" t="str">
        <f t="shared" si="1"/>
        <v/>
      </c>
    </row>
    <row r="101" spans="1:6" x14ac:dyDescent="0.55000000000000004">
      <c r="A101" s="8"/>
      <c r="B101" s="8"/>
      <c r="C101" s="8"/>
      <c r="D101" s="8"/>
      <c r="E101" s="9">
        <f>SUMIF(খতিয়ান!C:C, A101, খতিয়ান!F:F) - SUMIF(খতিয়ান!C:C, A101, খতিয়ান!G:G)</f>
        <v>0</v>
      </c>
      <c r="F101" s="10" t="str">
        <f t="shared" si="1"/>
        <v/>
      </c>
    </row>
    <row r="102" spans="1:6" x14ac:dyDescent="0.55000000000000004">
      <c r="A102" s="8"/>
      <c r="B102" s="8"/>
      <c r="C102" s="8"/>
      <c r="D102" s="8"/>
      <c r="E102" s="9">
        <f>SUMIF(খতিয়ান!C:C, A102, খতিয়ান!F:F) - SUMIF(খতিয়ান!C:C, A102, খতিয়ান!G:G)</f>
        <v>0</v>
      </c>
      <c r="F102" s="10" t="str">
        <f t="shared" si="1"/>
        <v/>
      </c>
    </row>
    <row r="103" spans="1:6" x14ac:dyDescent="0.55000000000000004">
      <c r="A103" s="8"/>
      <c r="B103" s="8"/>
      <c r="C103" s="8"/>
      <c r="D103" s="8"/>
      <c r="E103" s="9">
        <f>SUMIF(খতিয়ান!C:C, A103, খতিয়ান!F:F) - SUMIF(খতিয়ান!C:C, A103, খতিয়ান!G:G)</f>
        <v>0</v>
      </c>
      <c r="F103" s="10" t="str">
        <f t="shared" si="1"/>
        <v/>
      </c>
    </row>
    <row r="104" spans="1:6" x14ac:dyDescent="0.55000000000000004">
      <c r="A104" s="8"/>
      <c r="B104" s="8"/>
      <c r="C104" s="8"/>
      <c r="D104" s="8"/>
      <c r="E104" s="9">
        <f>SUMIF(খতিয়ান!C:C, A104, খতিয়ান!F:F) - SUMIF(খতিয়ান!C:C, A104, খতিয়ান!G:G)</f>
        <v>0</v>
      </c>
      <c r="F104" s="10" t="str">
        <f t="shared" si="1"/>
        <v/>
      </c>
    </row>
    <row r="105" spans="1:6" x14ac:dyDescent="0.55000000000000004">
      <c r="A105" s="8"/>
      <c r="B105" s="8"/>
      <c r="C105" s="8"/>
      <c r="D105" s="8"/>
      <c r="E105" s="9">
        <f>SUMIF(খতিয়ান!C:C, A105, খতিয়ান!F:F) - SUMIF(খতিয়ান!C:C, A105, খতিয়ান!G:G)</f>
        <v>0</v>
      </c>
      <c r="F105" s="10" t="str">
        <f t="shared" si="1"/>
        <v/>
      </c>
    </row>
    <row r="106" spans="1:6" x14ac:dyDescent="0.55000000000000004">
      <c r="A106" s="8"/>
      <c r="B106" s="8"/>
      <c r="C106" s="8"/>
      <c r="D106" s="8"/>
      <c r="E106" s="9">
        <f>SUMIF(খতিয়ান!C:C, A106, খতিয়ান!F:F) - SUMIF(খতিয়ান!C:C, A106, খতিয়ান!G:G)</f>
        <v>0</v>
      </c>
      <c r="F106" s="10" t="str">
        <f t="shared" si="1"/>
        <v/>
      </c>
    </row>
    <row r="107" spans="1:6" x14ac:dyDescent="0.55000000000000004">
      <c r="A107" s="8"/>
      <c r="B107" s="8"/>
      <c r="C107" s="8"/>
      <c r="D107" s="8"/>
      <c r="E107" s="9">
        <f>SUMIF(খতিয়ান!C:C, A107, খতিয়ান!F:F) - SUMIF(খতিয়ান!C:C, A107, খতিয়ান!G:G)</f>
        <v>0</v>
      </c>
      <c r="F107" s="10" t="str">
        <f t="shared" si="1"/>
        <v/>
      </c>
    </row>
    <row r="108" spans="1:6" x14ac:dyDescent="0.55000000000000004">
      <c r="A108" s="8"/>
      <c r="B108" s="8"/>
      <c r="C108" s="8"/>
      <c r="D108" s="8"/>
      <c r="E108" s="9">
        <f>SUMIF(খতিয়ান!C:C, A108, খতিয়ান!F:F) - SUMIF(খতিয়ান!C:C, A108, খতিয়ান!G:G)</f>
        <v>0</v>
      </c>
      <c r="F108" s="10" t="str">
        <f t="shared" si="1"/>
        <v/>
      </c>
    </row>
    <row r="109" spans="1:6" x14ac:dyDescent="0.55000000000000004">
      <c r="A109" s="8"/>
      <c r="B109" s="8"/>
      <c r="C109" s="8"/>
      <c r="D109" s="8"/>
      <c r="E109" s="9">
        <f>SUMIF(খতিয়ান!C:C, A109, খতিয়ান!F:F) - SUMIF(খতিয়ান!C:C, A109, খতিয়ান!G:G)</f>
        <v>0</v>
      </c>
      <c r="F109" s="10" t="str">
        <f t="shared" si="1"/>
        <v/>
      </c>
    </row>
    <row r="110" spans="1:6" x14ac:dyDescent="0.55000000000000004">
      <c r="A110" s="8"/>
      <c r="B110" s="8"/>
      <c r="C110" s="8"/>
      <c r="D110" s="8"/>
      <c r="E110" s="9">
        <f>SUMIF(খতিয়ান!C:C, A110, খতিয়ান!F:F) - SUMIF(খতিয়ান!C:C, A110, খতিয়ান!G:G)</f>
        <v>0</v>
      </c>
      <c r="F110" s="10" t="str">
        <f t="shared" si="1"/>
        <v/>
      </c>
    </row>
    <row r="111" spans="1:6" x14ac:dyDescent="0.55000000000000004">
      <c r="A111" s="8"/>
      <c r="B111" s="8"/>
      <c r="C111" s="8"/>
      <c r="D111" s="8"/>
      <c r="E111" s="9">
        <f>SUMIF(খতিয়ান!C:C, A111, খতিয়ান!F:F) - SUMIF(খতিয়ান!C:C, A111, খতিয়ান!G:G)</f>
        <v>0</v>
      </c>
      <c r="F111" s="10" t="str">
        <f t="shared" si="1"/>
        <v/>
      </c>
    </row>
    <row r="112" spans="1:6" x14ac:dyDescent="0.55000000000000004">
      <c r="A112" s="8"/>
      <c r="B112" s="8"/>
      <c r="C112" s="8"/>
      <c r="D112" s="8"/>
      <c r="E112" s="9">
        <f>SUMIF(খতিয়ান!C:C, A112, খতিয়ান!F:F) - SUMIF(খতিয়ান!C:C, A112, খতিয়ান!G:G)</f>
        <v>0</v>
      </c>
      <c r="F112" s="10" t="str">
        <f t="shared" si="1"/>
        <v/>
      </c>
    </row>
    <row r="113" spans="1:6" x14ac:dyDescent="0.55000000000000004">
      <c r="A113" s="8"/>
      <c r="B113" s="8"/>
      <c r="C113" s="8"/>
      <c r="D113" s="8"/>
      <c r="E113" s="9">
        <f>SUMIF(খতিয়ান!C:C, A113, খতিয়ান!F:F) - SUMIF(খতিয়ান!C:C, A113, খতিয়ান!G:G)</f>
        <v>0</v>
      </c>
      <c r="F113" s="10" t="str">
        <f t="shared" si="1"/>
        <v/>
      </c>
    </row>
    <row r="114" spans="1:6" x14ac:dyDescent="0.55000000000000004">
      <c r="A114" s="8"/>
      <c r="B114" s="8"/>
      <c r="C114" s="8"/>
      <c r="D114" s="8"/>
      <c r="E114" s="9">
        <f>SUMIF(খতিয়ান!C:C, A114, খতিয়ান!F:F) - SUMIF(খতিয়ান!C:C, A114, খতিয়ান!G:G)</f>
        <v>0</v>
      </c>
      <c r="F114" s="10" t="str">
        <f t="shared" si="1"/>
        <v/>
      </c>
    </row>
    <row r="115" spans="1:6" x14ac:dyDescent="0.55000000000000004">
      <c r="A115" s="8"/>
      <c r="B115" s="8"/>
      <c r="C115" s="8"/>
      <c r="D115" s="8"/>
      <c r="E115" s="9">
        <f>SUMIF(খতিয়ান!C:C, A115, খতিয়ান!F:F) - SUMIF(খতিয়ান!C:C, A115, খতিয়ান!G:G)</f>
        <v>0</v>
      </c>
      <c r="F115" s="10" t="str">
        <f t="shared" si="1"/>
        <v/>
      </c>
    </row>
    <row r="116" spans="1:6" x14ac:dyDescent="0.55000000000000004">
      <c r="A116" s="8"/>
      <c r="B116" s="8"/>
      <c r="C116" s="8"/>
      <c r="D116" s="8"/>
      <c r="E116" s="9">
        <f>SUMIF(খতিয়ান!C:C, A116, খতিয়ান!F:F) - SUMIF(খতিয়ান!C:C, A116, খতিয়ান!G:G)</f>
        <v>0</v>
      </c>
      <c r="F116" s="10" t="str">
        <f t="shared" si="1"/>
        <v/>
      </c>
    </row>
    <row r="117" spans="1:6" x14ac:dyDescent="0.55000000000000004">
      <c r="A117" s="8"/>
      <c r="B117" s="8"/>
      <c r="C117" s="8"/>
      <c r="D117" s="8"/>
      <c r="E117" s="9">
        <f>SUMIF(খতিয়ান!C:C, A117, খতিয়ান!F:F) - SUMIF(খতিয়ান!C:C, A117, খতিয়ান!G:G)</f>
        <v>0</v>
      </c>
      <c r="F117" s="10" t="str">
        <f t="shared" si="1"/>
        <v/>
      </c>
    </row>
    <row r="118" spans="1:6" x14ac:dyDescent="0.55000000000000004">
      <c r="A118" s="8"/>
      <c r="B118" s="8"/>
      <c r="C118" s="8"/>
      <c r="D118" s="8"/>
      <c r="E118" s="9">
        <f>SUMIF(খতিয়ান!C:C, A118, খতিয়ান!F:F) - SUMIF(খতিয়ান!C:C, A118, খতিয়ান!G:G)</f>
        <v>0</v>
      </c>
      <c r="F118" s="10" t="str">
        <f t="shared" si="1"/>
        <v/>
      </c>
    </row>
    <row r="119" spans="1:6" x14ac:dyDescent="0.55000000000000004">
      <c r="A119" s="8"/>
      <c r="B119" s="8"/>
      <c r="C119" s="8"/>
      <c r="D119" s="8"/>
      <c r="E119" s="9">
        <f>SUMIF(খতিয়ান!C:C, A119, খতিয়ান!F:F) - SUMIF(খতিয়ান!C:C, A119, খতিয়ান!G:G)</f>
        <v>0</v>
      </c>
      <c r="F119" s="10" t="str">
        <f t="shared" si="1"/>
        <v/>
      </c>
    </row>
    <row r="120" spans="1:6" x14ac:dyDescent="0.55000000000000004">
      <c r="A120" s="8"/>
      <c r="B120" s="8"/>
      <c r="C120" s="8"/>
      <c r="D120" s="8"/>
      <c r="E120" s="9">
        <f>SUMIF(খতিয়ান!C:C, A120, খতিয়ান!F:F) - SUMIF(খতিয়ান!C:C, A120, খতিয়ান!G:G)</f>
        <v>0</v>
      </c>
      <c r="F120" s="10" t="str">
        <f t="shared" si="1"/>
        <v/>
      </c>
    </row>
    <row r="121" spans="1:6" x14ac:dyDescent="0.55000000000000004">
      <c r="A121" s="8"/>
      <c r="B121" s="8"/>
      <c r="C121" s="8"/>
      <c r="D121" s="8"/>
      <c r="E121" s="9">
        <f>SUMIF(খতিয়ান!C:C, A121, খতিয়ান!F:F) - SUMIF(খতিয়ান!C:C, A121, খতিয়ান!G:G)</f>
        <v>0</v>
      </c>
      <c r="F121" s="10" t="str">
        <f t="shared" si="1"/>
        <v/>
      </c>
    </row>
    <row r="122" spans="1:6" x14ac:dyDescent="0.55000000000000004">
      <c r="A122" s="8"/>
      <c r="B122" s="8"/>
      <c r="C122" s="8"/>
      <c r="D122" s="8"/>
      <c r="E122" s="9">
        <f>SUMIF(খতিয়ান!C:C, A122, খতিয়ান!F:F) - SUMIF(খতিয়ান!C:C, A122, খতিয়ান!G:G)</f>
        <v>0</v>
      </c>
      <c r="F122" s="10" t="str">
        <f t="shared" si="1"/>
        <v/>
      </c>
    </row>
    <row r="123" spans="1:6" x14ac:dyDescent="0.55000000000000004">
      <c r="A123" s="8"/>
      <c r="B123" s="8"/>
      <c r="C123" s="8"/>
      <c r="D123" s="8"/>
      <c r="E123" s="9">
        <f>SUMIF(খতিয়ান!C:C, A123, খতিয়ান!F:F) - SUMIF(খতিয়ান!C:C, A123, খতিয়ান!G:G)</f>
        <v>0</v>
      </c>
      <c r="F123" s="10" t="str">
        <f t="shared" si="1"/>
        <v/>
      </c>
    </row>
    <row r="124" spans="1:6" x14ac:dyDescent="0.55000000000000004">
      <c r="A124" s="8"/>
      <c r="B124" s="8"/>
      <c r="C124" s="8"/>
      <c r="D124" s="8"/>
      <c r="E124" s="9">
        <f>SUMIF(খতিয়ান!C:C, A124, খতিয়ান!F:F) - SUMIF(খতিয়ান!C:C, A124, খতিয়ান!G:G)</f>
        <v>0</v>
      </c>
      <c r="F124" s="10" t="str">
        <f t="shared" si="1"/>
        <v/>
      </c>
    </row>
    <row r="125" spans="1:6" x14ac:dyDescent="0.55000000000000004">
      <c r="A125" s="8"/>
      <c r="B125" s="8"/>
      <c r="C125" s="8"/>
      <c r="D125" s="8"/>
      <c r="E125" s="9">
        <f>SUMIF(খতিয়ান!C:C, A125, খতিয়ান!F:F) - SUMIF(খতিয়ান!C:C, A125, খতিয়ান!G:G)</f>
        <v>0</v>
      </c>
      <c r="F125" s="10" t="str">
        <f t="shared" si="1"/>
        <v/>
      </c>
    </row>
    <row r="126" spans="1:6" x14ac:dyDescent="0.55000000000000004">
      <c r="A126" s="8"/>
      <c r="B126" s="8"/>
      <c r="C126" s="8"/>
      <c r="D126" s="8"/>
      <c r="E126" s="9">
        <f>SUMIF(খতিয়ান!C:C, A126, খতিয়ান!F:F) - SUMIF(খতিয়ান!C:C, A126, খতিয়ান!G:G)</f>
        <v>0</v>
      </c>
      <c r="F126" s="10" t="str">
        <f t="shared" si="1"/>
        <v/>
      </c>
    </row>
    <row r="127" spans="1:6" x14ac:dyDescent="0.55000000000000004">
      <c r="A127" s="8"/>
      <c r="B127" s="8"/>
      <c r="C127" s="8"/>
      <c r="D127" s="8"/>
      <c r="E127" s="9">
        <f>SUMIF(খতিয়ান!C:C, A127, খতিয়ান!F:F) - SUMIF(খতিয়ান!C:C, A127, খতিয়ান!G:G)</f>
        <v>0</v>
      </c>
      <c r="F127" s="10" t="str">
        <f t="shared" si="1"/>
        <v/>
      </c>
    </row>
    <row r="128" spans="1:6" x14ac:dyDescent="0.55000000000000004">
      <c r="A128" s="8"/>
      <c r="B128" s="8"/>
      <c r="C128" s="8"/>
      <c r="D128" s="8"/>
      <c r="E128" s="9">
        <f>SUMIF(খতিয়ান!C:C, A128, খতিয়ান!F:F) - SUMIF(খতিয়ান!C:C, A128, খতিয়ান!G:G)</f>
        <v>0</v>
      </c>
      <c r="F128" s="10" t="str">
        <f t="shared" si="1"/>
        <v/>
      </c>
    </row>
    <row r="129" spans="1:6" x14ac:dyDescent="0.55000000000000004">
      <c r="A129" s="8"/>
      <c r="B129" s="8"/>
      <c r="C129" s="8"/>
      <c r="D129" s="8"/>
      <c r="E129" s="9">
        <f>SUMIF(খতিয়ান!C:C, A129, খতিয়ান!F:F) - SUMIF(খতিয়ান!C:C, A129, খতিয়ান!G:G)</f>
        <v>0</v>
      </c>
      <c r="F129" s="10" t="str">
        <f t="shared" si="1"/>
        <v/>
      </c>
    </row>
    <row r="130" spans="1:6" x14ac:dyDescent="0.55000000000000004">
      <c r="A130" s="8"/>
      <c r="B130" s="8"/>
      <c r="C130" s="8"/>
      <c r="D130" s="8"/>
      <c r="E130" s="9">
        <f>SUMIF(খতিয়ান!C:C, A130, খতিয়ান!F:F) - SUMIF(খতিয়ান!C:C, A130, খতিয়ান!G:G)</f>
        <v>0</v>
      </c>
      <c r="F130" s="10" t="str">
        <f t="shared" si="1"/>
        <v/>
      </c>
    </row>
    <row r="131" spans="1:6" x14ac:dyDescent="0.55000000000000004">
      <c r="A131" s="8"/>
      <c r="B131" s="8"/>
      <c r="C131" s="8"/>
      <c r="D131" s="8"/>
      <c r="E131" s="9">
        <f>SUMIF(খতিয়ান!C:C, A131, খতিয়ান!F:F) - SUMIF(খতিয়ান!C:C, A131, খতিয়ান!G:G)</f>
        <v>0</v>
      </c>
      <c r="F131" s="10" t="str">
        <f t="shared" si="1"/>
        <v/>
      </c>
    </row>
    <row r="132" spans="1:6" x14ac:dyDescent="0.55000000000000004">
      <c r="A132" s="8"/>
      <c r="B132" s="8"/>
      <c r="C132" s="8"/>
      <c r="D132" s="8"/>
      <c r="E132" s="9">
        <f>SUMIF(খতিয়ান!C:C, A132, খতিয়ান!F:F) - SUMIF(খতিয়ান!C:C, A132, খতিয়ান!G:G)</f>
        <v>0</v>
      </c>
      <c r="F132" s="10" t="str">
        <f t="shared" ref="F132:F195" si="2">IF(OR(ISBLANK(C132), E132&lt;=0), "", HYPERLINK("https://wa.me/88"&amp;C132&amp;"?text=আসসালামু আলাইকুম "&amp;B132&amp;", আপনার মোট বকেয়া "&amp;TEXT(E132,"0")&amp;" টাকা। অনুগ্রহ করে পরিশোধ করবেন।", "✉️ মেসেজ পাঠান"))</f>
        <v/>
      </c>
    </row>
    <row r="133" spans="1:6" x14ac:dyDescent="0.55000000000000004">
      <c r="A133" s="8"/>
      <c r="B133" s="8"/>
      <c r="C133" s="8"/>
      <c r="D133" s="8"/>
      <c r="E133" s="9">
        <f>SUMIF(খতিয়ান!C:C, A133, খতিয়ান!F:F) - SUMIF(খতিয়ান!C:C, A133, খতিয়ান!G:G)</f>
        <v>0</v>
      </c>
      <c r="F133" s="10" t="str">
        <f t="shared" si="2"/>
        <v/>
      </c>
    </row>
    <row r="134" spans="1:6" x14ac:dyDescent="0.55000000000000004">
      <c r="A134" s="8"/>
      <c r="B134" s="8"/>
      <c r="C134" s="8"/>
      <c r="D134" s="8"/>
      <c r="E134" s="9">
        <f>SUMIF(খতিয়ান!C:C, A134, খতিয়ান!F:F) - SUMIF(খতিয়ান!C:C, A134, খতিয়ান!G:G)</f>
        <v>0</v>
      </c>
      <c r="F134" s="10" t="str">
        <f t="shared" si="2"/>
        <v/>
      </c>
    </row>
    <row r="135" spans="1:6" x14ac:dyDescent="0.55000000000000004">
      <c r="A135" s="8"/>
      <c r="B135" s="8"/>
      <c r="C135" s="8"/>
      <c r="D135" s="8"/>
      <c r="E135" s="9">
        <f>SUMIF(খতিয়ান!C:C, A135, খতিয়ান!F:F) - SUMIF(খতিয়ান!C:C, A135, খতিয়ান!G:G)</f>
        <v>0</v>
      </c>
      <c r="F135" s="10" t="str">
        <f t="shared" si="2"/>
        <v/>
      </c>
    </row>
    <row r="136" spans="1:6" x14ac:dyDescent="0.55000000000000004">
      <c r="A136" s="8"/>
      <c r="B136" s="8"/>
      <c r="C136" s="8"/>
      <c r="D136" s="8"/>
      <c r="E136" s="9">
        <f>SUMIF(খতিয়ান!C:C, A136, খতিয়ান!F:F) - SUMIF(খতিয়ান!C:C, A136, খতিয়ান!G:G)</f>
        <v>0</v>
      </c>
      <c r="F136" s="10" t="str">
        <f t="shared" si="2"/>
        <v/>
      </c>
    </row>
    <row r="137" spans="1:6" x14ac:dyDescent="0.55000000000000004">
      <c r="A137" s="8"/>
      <c r="B137" s="8"/>
      <c r="C137" s="8"/>
      <c r="D137" s="8"/>
      <c r="E137" s="9">
        <f>SUMIF(খতিয়ান!C:C, A137, খতিয়ান!F:F) - SUMIF(খতিয়ান!C:C, A137, খতিয়ান!G:G)</f>
        <v>0</v>
      </c>
      <c r="F137" s="10" t="str">
        <f t="shared" si="2"/>
        <v/>
      </c>
    </row>
    <row r="138" spans="1:6" x14ac:dyDescent="0.55000000000000004">
      <c r="A138" s="8"/>
      <c r="B138" s="8"/>
      <c r="C138" s="8"/>
      <c r="D138" s="8"/>
      <c r="E138" s="9">
        <f>SUMIF(খতিয়ান!C:C, A138, খতিয়ান!F:F) - SUMIF(খতিয়ান!C:C, A138, খতিয়ান!G:G)</f>
        <v>0</v>
      </c>
      <c r="F138" s="10" t="str">
        <f t="shared" si="2"/>
        <v/>
      </c>
    </row>
    <row r="139" spans="1:6" x14ac:dyDescent="0.55000000000000004">
      <c r="A139" s="8"/>
      <c r="B139" s="8"/>
      <c r="C139" s="8"/>
      <c r="D139" s="8"/>
      <c r="E139" s="9">
        <f>SUMIF(খতিয়ান!C:C, A139, খতিয়ান!F:F) - SUMIF(খতিয়ান!C:C, A139, খতিয়ান!G:G)</f>
        <v>0</v>
      </c>
      <c r="F139" s="10" t="str">
        <f t="shared" si="2"/>
        <v/>
      </c>
    </row>
    <row r="140" spans="1:6" x14ac:dyDescent="0.55000000000000004">
      <c r="A140" s="8"/>
      <c r="B140" s="8"/>
      <c r="C140" s="8"/>
      <c r="D140" s="8"/>
      <c r="E140" s="9">
        <f>SUMIF(খতিয়ান!C:C, A140, খতিয়ান!F:F) - SUMIF(খতিয়ান!C:C, A140, খতিয়ান!G:G)</f>
        <v>0</v>
      </c>
      <c r="F140" s="10" t="str">
        <f t="shared" si="2"/>
        <v/>
      </c>
    </row>
    <row r="141" spans="1:6" x14ac:dyDescent="0.55000000000000004">
      <c r="A141" s="8"/>
      <c r="B141" s="8"/>
      <c r="C141" s="8"/>
      <c r="D141" s="8"/>
      <c r="E141" s="9">
        <f>SUMIF(খতিয়ান!C:C, A141, খতিয়ান!F:F) - SUMIF(খতিয়ান!C:C, A141, খতিয়ান!G:G)</f>
        <v>0</v>
      </c>
      <c r="F141" s="10" t="str">
        <f t="shared" si="2"/>
        <v/>
      </c>
    </row>
    <row r="142" spans="1:6" x14ac:dyDescent="0.55000000000000004">
      <c r="A142" s="8"/>
      <c r="B142" s="8"/>
      <c r="C142" s="8"/>
      <c r="D142" s="8"/>
      <c r="E142" s="9">
        <f>SUMIF(খতিয়ান!C:C, A142, খতিয়ান!F:F) - SUMIF(খতিয়ান!C:C, A142, খতিয়ান!G:G)</f>
        <v>0</v>
      </c>
      <c r="F142" s="10" t="str">
        <f t="shared" si="2"/>
        <v/>
      </c>
    </row>
    <row r="143" spans="1:6" x14ac:dyDescent="0.55000000000000004">
      <c r="A143" s="8"/>
      <c r="B143" s="8"/>
      <c r="C143" s="8"/>
      <c r="D143" s="8"/>
      <c r="E143" s="9">
        <f>SUMIF(খতিয়ান!C:C, A143, খতিয়ান!F:F) - SUMIF(খতিয়ান!C:C, A143, খতিয়ান!G:G)</f>
        <v>0</v>
      </c>
      <c r="F143" s="10" t="str">
        <f t="shared" si="2"/>
        <v/>
      </c>
    </row>
    <row r="144" spans="1:6" x14ac:dyDescent="0.55000000000000004">
      <c r="A144" s="8"/>
      <c r="B144" s="8"/>
      <c r="C144" s="8"/>
      <c r="D144" s="8"/>
      <c r="E144" s="9">
        <f>SUMIF(খতিয়ান!C:C, A144, খতিয়ান!F:F) - SUMIF(খতিয়ান!C:C, A144, খতিয়ান!G:G)</f>
        <v>0</v>
      </c>
      <c r="F144" s="10" t="str">
        <f t="shared" si="2"/>
        <v/>
      </c>
    </row>
    <row r="145" spans="1:6" x14ac:dyDescent="0.55000000000000004">
      <c r="A145" s="8"/>
      <c r="B145" s="8"/>
      <c r="C145" s="8"/>
      <c r="D145" s="8"/>
      <c r="E145" s="9">
        <f>SUMIF(খতিয়ান!C:C, A145, খতিয়ান!F:F) - SUMIF(খতিয়ান!C:C, A145, খতিয়ান!G:G)</f>
        <v>0</v>
      </c>
      <c r="F145" s="10" t="str">
        <f t="shared" si="2"/>
        <v/>
      </c>
    </row>
    <row r="146" spans="1:6" x14ac:dyDescent="0.55000000000000004">
      <c r="A146" s="8"/>
      <c r="B146" s="8"/>
      <c r="C146" s="8"/>
      <c r="D146" s="8"/>
      <c r="E146" s="9">
        <f>SUMIF(খতিয়ান!C:C, A146, খতিয়ান!F:F) - SUMIF(খতিয়ান!C:C, A146, খতিয়ান!G:G)</f>
        <v>0</v>
      </c>
      <c r="F146" s="10" t="str">
        <f t="shared" si="2"/>
        <v/>
      </c>
    </row>
    <row r="147" spans="1:6" x14ac:dyDescent="0.55000000000000004">
      <c r="A147" s="8"/>
      <c r="B147" s="8"/>
      <c r="C147" s="8"/>
      <c r="D147" s="8"/>
      <c r="E147" s="9">
        <f>SUMIF(খতিয়ান!C:C, A147, খতিয়ান!F:F) - SUMIF(খতিয়ান!C:C, A147, খতিয়ান!G:G)</f>
        <v>0</v>
      </c>
      <c r="F147" s="10" t="str">
        <f t="shared" si="2"/>
        <v/>
      </c>
    </row>
    <row r="148" spans="1:6" x14ac:dyDescent="0.55000000000000004">
      <c r="A148" s="8"/>
      <c r="B148" s="8"/>
      <c r="C148" s="8"/>
      <c r="D148" s="8"/>
      <c r="E148" s="9">
        <f>SUMIF(খতিয়ান!C:C, A148, খতিয়ান!F:F) - SUMIF(খতিয়ান!C:C, A148, খতিয়ান!G:G)</f>
        <v>0</v>
      </c>
      <c r="F148" s="10" t="str">
        <f t="shared" si="2"/>
        <v/>
      </c>
    </row>
    <row r="149" spans="1:6" x14ac:dyDescent="0.55000000000000004">
      <c r="A149" s="8"/>
      <c r="B149" s="8"/>
      <c r="C149" s="8"/>
      <c r="D149" s="8"/>
      <c r="E149" s="9">
        <f>SUMIF(খতিয়ান!C:C, A149, খতিয়ান!F:F) - SUMIF(খতিয়ান!C:C, A149, খতিয়ান!G:G)</f>
        <v>0</v>
      </c>
      <c r="F149" s="10" t="str">
        <f t="shared" si="2"/>
        <v/>
      </c>
    </row>
    <row r="150" spans="1:6" x14ac:dyDescent="0.55000000000000004">
      <c r="A150" s="8"/>
      <c r="B150" s="8"/>
      <c r="C150" s="8"/>
      <c r="D150" s="8"/>
      <c r="E150" s="9">
        <f>SUMIF(খতিয়ান!C:C, A150, খতিয়ান!F:F) - SUMIF(খতিয়ান!C:C, A150, খতিয়ান!G:G)</f>
        <v>0</v>
      </c>
      <c r="F150" s="10" t="str">
        <f t="shared" si="2"/>
        <v/>
      </c>
    </row>
    <row r="151" spans="1:6" x14ac:dyDescent="0.55000000000000004">
      <c r="A151" s="8"/>
      <c r="B151" s="8"/>
      <c r="C151" s="8"/>
      <c r="D151" s="8"/>
      <c r="E151" s="9">
        <f>SUMIF(খতিয়ান!C:C, A151, খতিয়ান!F:F) - SUMIF(খতিয়ান!C:C, A151, খতিয়ান!G:G)</f>
        <v>0</v>
      </c>
      <c r="F151" s="10" t="str">
        <f t="shared" si="2"/>
        <v/>
      </c>
    </row>
    <row r="152" spans="1:6" x14ac:dyDescent="0.55000000000000004">
      <c r="A152" s="8"/>
      <c r="B152" s="8"/>
      <c r="C152" s="8"/>
      <c r="D152" s="8"/>
      <c r="E152" s="9">
        <f>SUMIF(খতিয়ান!C:C, A152, খতিয়ান!F:F) - SUMIF(খতিয়ান!C:C, A152, খতিয়ান!G:G)</f>
        <v>0</v>
      </c>
      <c r="F152" s="10" t="str">
        <f t="shared" si="2"/>
        <v/>
      </c>
    </row>
    <row r="153" spans="1:6" x14ac:dyDescent="0.55000000000000004">
      <c r="A153" s="8"/>
      <c r="B153" s="8"/>
      <c r="C153" s="8"/>
      <c r="D153" s="8"/>
      <c r="E153" s="9">
        <f>SUMIF(খতিয়ান!C:C, A153, খতিয়ান!F:F) - SUMIF(খতিয়ান!C:C, A153, খতিয়ান!G:G)</f>
        <v>0</v>
      </c>
      <c r="F153" s="10" t="str">
        <f t="shared" si="2"/>
        <v/>
      </c>
    </row>
    <row r="154" spans="1:6" x14ac:dyDescent="0.55000000000000004">
      <c r="A154" s="8"/>
      <c r="B154" s="8"/>
      <c r="C154" s="8"/>
      <c r="D154" s="8"/>
      <c r="E154" s="9">
        <f>SUMIF(খতিয়ান!C:C, A154, খতিয়ান!F:F) - SUMIF(খতিয়ান!C:C, A154, খতিয়ান!G:G)</f>
        <v>0</v>
      </c>
      <c r="F154" s="10" t="str">
        <f t="shared" si="2"/>
        <v/>
      </c>
    </row>
    <row r="155" spans="1:6" x14ac:dyDescent="0.55000000000000004">
      <c r="A155" s="8"/>
      <c r="B155" s="8"/>
      <c r="C155" s="8"/>
      <c r="D155" s="8"/>
      <c r="E155" s="9">
        <f>SUMIF(খতিয়ান!C:C, A155, খতিয়ান!F:F) - SUMIF(খতিয়ান!C:C, A155, খতিয়ান!G:G)</f>
        <v>0</v>
      </c>
      <c r="F155" s="10" t="str">
        <f t="shared" si="2"/>
        <v/>
      </c>
    </row>
    <row r="156" spans="1:6" x14ac:dyDescent="0.55000000000000004">
      <c r="A156" s="8"/>
      <c r="B156" s="8"/>
      <c r="C156" s="8"/>
      <c r="D156" s="8"/>
      <c r="E156" s="9">
        <f>SUMIF(খতিয়ান!C:C, A156, খতিয়ান!F:F) - SUMIF(খতিয়ান!C:C, A156, খতিয়ান!G:G)</f>
        <v>0</v>
      </c>
      <c r="F156" s="10" t="str">
        <f t="shared" si="2"/>
        <v/>
      </c>
    </row>
    <row r="157" spans="1:6" x14ac:dyDescent="0.55000000000000004">
      <c r="A157" s="8"/>
      <c r="B157" s="8"/>
      <c r="C157" s="8"/>
      <c r="D157" s="8"/>
      <c r="E157" s="9">
        <f>SUMIF(খতিয়ান!C:C, A157, খতিয়ান!F:F) - SUMIF(খতিয়ান!C:C, A157, খতিয়ান!G:G)</f>
        <v>0</v>
      </c>
      <c r="F157" s="10" t="str">
        <f t="shared" si="2"/>
        <v/>
      </c>
    </row>
    <row r="158" spans="1:6" x14ac:dyDescent="0.55000000000000004">
      <c r="A158" s="8"/>
      <c r="B158" s="8"/>
      <c r="C158" s="8"/>
      <c r="D158" s="8"/>
      <c r="E158" s="9">
        <f>SUMIF(খতিয়ান!C:C, A158, খতিয়ান!F:F) - SUMIF(খতিয়ান!C:C, A158, খতিয়ান!G:G)</f>
        <v>0</v>
      </c>
      <c r="F158" s="10" t="str">
        <f t="shared" si="2"/>
        <v/>
      </c>
    </row>
    <row r="159" spans="1:6" x14ac:dyDescent="0.55000000000000004">
      <c r="A159" s="8"/>
      <c r="B159" s="8"/>
      <c r="C159" s="8"/>
      <c r="D159" s="8"/>
      <c r="E159" s="9">
        <f>SUMIF(খতিয়ান!C:C, A159, খতিয়ান!F:F) - SUMIF(খতিয়ান!C:C, A159, খতিয়ান!G:G)</f>
        <v>0</v>
      </c>
      <c r="F159" s="10" t="str">
        <f t="shared" si="2"/>
        <v/>
      </c>
    </row>
    <row r="160" spans="1:6" x14ac:dyDescent="0.55000000000000004">
      <c r="A160" s="8"/>
      <c r="B160" s="8"/>
      <c r="C160" s="8"/>
      <c r="D160" s="8"/>
      <c r="E160" s="9">
        <f>SUMIF(খতিয়ান!C:C, A160, খতিয়ান!F:F) - SUMIF(খতিয়ান!C:C, A160, খতিয়ান!G:G)</f>
        <v>0</v>
      </c>
      <c r="F160" s="10" t="str">
        <f t="shared" si="2"/>
        <v/>
      </c>
    </row>
    <row r="161" spans="1:6" x14ac:dyDescent="0.55000000000000004">
      <c r="A161" s="8"/>
      <c r="B161" s="8"/>
      <c r="C161" s="8"/>
      <c r="D161" s="8"/>
      <c r="E161" s="9">
        <f>SUMIF(খতিয়ান!C:C, A161, খতিয়ান!F:F) - SUMIF(খতিয়ান!C:C, A161, খতিয়ান!G:G)</f>
        <v>0</v>
      </c>
      <c r="F161" s="10" t="str">
        <f t="shared" si="2"/>
        <v/>
      </c>
    </row>
    <row r="162" spans="1:6" x14ac:dyDescent="0.55000000000000004">
      <c r="A162" s="8"/>
      <c r="B162" s="8"/>
      <c r="C162" s="8"/>
      <c r="D162" s="8"/>
      <c r="E162" s="9">
        <f>SUMIF(খতিয়ান!C:C, A162, খতিয়ান!F:F) - SUMIF(খতিয়ান!C:C, A162, খতিয়ান!G:G)</f>
        <v>0</v>
      </c>
      <c r="F162" s="10" t="str">
        <f t="shared" si="2"/>
        <v/>
      </c>
    </row>
    <row r="163" spans="1:6" x14ac:dyDescent="0.55000000000000004">
      <c r="A163" s="8"/>
      <c r="B163" s="8"/>
      <c r="C163" s="8"/>
      <c r="D163" s="8"/>
      <c r="E163" s="9">
        <f>SUMIF(খতিয়ান!C:C, A163, খতিয়ান!F:F) - SUMIF(খতিয়ান!C:C, A163, খতিয়ান!G:G)</f>
        <v>0</v>
      </c>
      <c r="F163" s="10" t="str">
        <f t="shared" si="2"/>
        <v/>
      </c>
    </row>
    <row r="164" spans="1:6" x14ac:dyDescent="0.55000000000000004">
      <c r="A164" s="8"/>
      <c r="B164" s="8"/>
      <c r="C164" s="8"/>
      <c r="D164" s="8"/>
      <c r="E164" s="9">
        <f>SUMIF(খতিয়ান!C:C, A164, খতিয়ান!F:F) - SUMIF(খতিয়ান!C:C, A164, খতিয়ান!G:G)</f>
        <v>0</v>
      </c>
      <c r="F164" s="10" t="str">
        <f t="shared" si="2"/>
        <v/>
      </c>
    </row>
    <row r="165" spans="1:6" x14ac:dyDescent="0.55000000000000004">
      <c r="A165" s="8"/>
      <c r="B165" s="8"/>
      <c r="C165" s="8"/>
      <c r="D165" s="8"/>
      <c r="E165" s="9">
        <f>SUMIF(খতিয়ান!C:C, A165, খতিয়ান!F:F) - SUMIF(খতিয়ান!C:C, A165, খতিয়ান!G:G)</f>
        <v>0</v>
      </c>
      <c r="F165" s="10" t="str">
        <f t="shared" si="2"/>
        <v/>
      </c>
    </row>
    <row r="166" spans="1:6" x14ac:dyDescent="0.55000000000000004">
      <c r="A166" s="8"/>
      <c r="B166" s="8"/>
      <c r="C166" s="8"/>
      <c r="D166" s="8"/>
      <c r="E166" s="9">
        <f>SUMIF(খতিয়ান!C:C, A166, খতিয়ান!F:F) - SUMIF(খতিয়ান!C:C, A166, খতিয়ান!G:G)</f>
        <v>0</v>
      </c>
      <c r="F166" s="10" t="str">
        <f t="shared" si="2"/>
        <v/>
      </c>
    </row>
    <row r="167" spans="1:6" x14ac:dyDescent="0.55000000000000004">
      <c r="A167" s="8"/>
      <c r="B167" s="8"/>
      <c r="C167" s="8"/>
      <c r="D167" s="8"/>
      <c r="E167" s="9">
        <f>SUMIF(খতিয়ান!C:C, A167, খতিয়ান!F:F) - SUMIF(খতিয়ান!C:C, A167, খতিয়ান!G:G)</f>
        <v>0</v>
      </c>
      <c r="F167" s="10" t="str">
        <f t="shared" si="2"/>
        <v/>
      </c>
    </row>
    <row r="168" spans="1:6" x14ac:dyDescent="0.55000000000000004">
      <c r="A168" s="8"/>
      <c r="B168" s="8"/>
      <c r="C168" s="8"/>
      <c r="D168" s="8"/>
      <c r="E168" s="9">
        <f>SUMIF(খতিয়ান!C:C, A168, খতিয়ান!F:F) - SUMIF(খতিয়ান!C:C, A168, খতিয়ান!G:G)</f>
        <v>0</v>
      </c>
      <c r="F168" s="10" t="str">
        <f t="shared" si="2"/>
        <v/>
      </c>
    </row>
    <row r="169" spans="1:6" x14ac:dyDescent="0.55000000000000004">
      <c r="A169" s="8"/>
      <c r="B169" s="8"/>
      <c r="C169" s="8"/>
      <c r="D169" s="8"/>
      <c r="E169" s="9">
        <f>SUMIF(খতিয়ান!C:C, A169, খতিয়ান!F:F) - SUMIF(খতিয়ান!C:C, A169, খতিয়ান!G:G)</f>
        <v>0</v>
      </c>
      <c r="F169" s="10" t="str">
        <f t="shared" si="2"/>
        <v/>
      </c>
    </row>
    <row r="170" spans="1:6" x14ac:dyDescent="0.55000000000000004">
      <c r="A170" s="8"/>
      <c r="B170" s="8"/>
      <c r="C170" s="8"/>
      <c r="D170" s="8"/>
      <c r="E170" s="9">
        <f>SUMIF(খতিয়ান!C:C, A170, খতিয়ান!F:F) - SUMIF(খতিয়ান!C:C, A170, খতিয়ান!G:G)</f>
        <v>0</v>
      </c>
      <c r="F170" s="10" t="str">
        <f t="shared" si="2"/>
        <v/>
      </c>
    </row>
    <row r="171" spans="1:6" x14ac:dyDescent="0.55000000000000004">
      <c r="A171" s="8"/>
      <c r="B171" s="8"/>
      <c r="C171" s="8"/>
      <c r="D171" s="8"/>
      <c r="E171" s="9">
        <f>SUMIF(খতিয়ান!C:C, A171, খতিয়ান!F:F) - SUMIF(খতিয়ান!C:C, A171, খতিয়ান!G:G)</f>
        <v>0</v>
      </c>
      <c r="F171" s="10" t="str">
        <f t="shared" si="2"/>
        <v/>
      </c>
    </row>
    <row r="172" spans="1:6" x14ac:dyDescent="0.55000000000000004">
      <c r="A172" s="8"/>
      <c r="B172" s="8"/>
      <c r="C172" s="8"/>
      <c r="D172" s="8"/>
      <c r="E172" s="9">
        <f>SUMIF(খতিয়ান!C:C, A172, খতিয়ান!F:F) - SUMIF(খতিয়ান!C:C, A172, খতিয়ান!G:G)</f>
        <v>0</v>
      </c>
      <c r="F172" s="10" t="str">
        <f t="shared" si="2"/>
        <v/>
      </c>
    </row>
    <row r="173" spans="1:6" x14ac:dyDescent="0.55000000000000004">
      <c r="A173" s="8"/>
      <c r="B173" s="8"/>
      <c r="C173" s="8"/>
      <c r="D173" s="8"/>
      <c r="E173" s="9">
        <f>SUMIF(খতিয়ান!C:C, A173, খতিয়ান!F:F) - SUMIF(খতিয়ান!C:C, A173, খতিয়ান!G:G)</f>
        <v>0</v>
      </c>
      <c r="F173" s="10" t="str">
        <f t="shared" si="2"/>
        <v/>
      </c>
    </row>
    <row r="174" spans="1:6" x14ac:dyDescent="0.55000000000000004">
      <c r="A174" s="8"/>
      <c r="B174" s="8"/>
      <c r="C174" s="8"/>
      <c r="D174" s="8"/>
      <c r="E174" s="9">
        <f>SUMIF(খতিয়ান!C:C, A174, খতিয়ান!F:F) - SUMIF(খতিয়ান!C:C, A174, খতিয়ান!G:G)</f>
        <v>0</v>
      </c>
      <c r="F174" s="10" t="str">
        <f t="shared" si="2"/>
        <v/>
      </c>
    </row>
    <row r="175" spans="1:6" x14ac:dyDescent="0.55000000000000004">
      <c r="A175" s="8"/>
      <c r="B175" s="8"/>
      <c r="C175" s="8"/>
      <c r="D175" s="8"/>
      <c r="E175" s="9">
        <f>SUMIF(খতিয়ান!C:C, A175, খতিয়ান!F:F) - SUMIF(খতিয়ান!C:C, A175, খতিয়ান!G:G)</f>
        <v>0</v>
      </c>
      <c r="F175" s="10" t="str">
        <f t="shared" si="2"/>
        <v/>
      </c>
    </row>
    <row r="176" spans="1:6" x14ac:dyDescent="0.55000000000000004">
      <c r="A176" s="8"/>
      <c r="B176" s="8"/>
      <c r="C176" s="8"/>
      <c r="D176" s="8"/>
      <c r="E176" s="9">
        <f>SUMIF(খতিয়ান!C:C, A176, খতিয়ান!F:F) - SUMIF(খতিয়ান!C:C, A176, খতিয়ান!G:G)</f>
        <v>0</v>
      </c>
      <c r="F176" s="10" t="str">
        <f t="shared" si="2"/>
        <v/>
      </c>
    </row>
    <row r="177" spans="1:6" x14ac:dyDescent="0.55000000000000004">
      <c r="A177" s="8"/>
      <c r="B177" s="8"/>
      <c r="C177" s="8"/>
      <c r="D177" s="8"/>
      <c r="E177" s="9">
        <f>SUMIF(খতিয়ান!C:C, A177, খতিয়ান!F:F) - SUMIF(খতিয়ান!C:C, A177, খতিয়ান!G:G)</f>
        <v>0</v>
      </c>
      <c r="F177" s="10" t="str">
        <f t="shared" si="2"/>
        <v/>
      </c>
    </row>
    <row r="178" spans="1:6" x14ac:dyDescent="0.55000000000000004">
      <c r="A178" s="8"/>
      <c r="B178" s="8"/>
      <c r="C178" s="8"/>
      <c r="D178" s="8"/>
      <c r="E178" s="9">
        <f>SUMIF(খতিয়ান!C:C, A178, খতিয়ান!F:F) - SUMIF(খতিয়ান!C:C, A178, খতিয়ান!G:G)</f>
        <v>0</v>
      </c>
      <c r="F178" s="10" t="str">
        <f t="shared" si="2"/>
        <v/>
      </c>
    </row>
    <row r="179" spans="1:6" x14ac:dyDescent="0.55000000000000004">
      <c r="A179" s="8"/>
      <c r="B179" s="8"/>
      <c r="C179" s="8"/>
      <c r="D179" s="8"/>
      <c r="E179" s="9">
        <f>SUMIF(খতিয়ান!C:C, A179, খতিয়ান!F:F) - SUMIF(খতিয়ান!C:C, A179, খতিয়ান!G:G)</f>
        <v>0</v>
      </c>
      <c r="F179" s="10" t="str">
        <f t="shared" si="2"/>
        <v/>
      </c>
    </row>
    <row r="180" spans="1:6" x14ac:dyDescent="0.55000000000000004">
      <c r="A180" s="8"/>
      <c r="B180" s="8"/>
      <c r="C180" s="8"/>
      <c r="D180" s="8"/>
      <c r="E180" s="9">
        <f>SUMIF(খতিয়ান!C:C, A180, খতিয়ান!F:F) - SUMIF(খতিয়ান!C:C, A180, খতিয়ান!G:G)</f>
        <v>0</v>
      </c>
      <c r="F180" s="10" t="str">
        <f t="shared" si="2"/>
        <v/>
      </c>
    </row>
    <row r="181" spans="1:6" x14ac:dyDescent="0.55000000000000004">
      <c r="A181" s="8"/>
      <c r="B181" s="8"/>
      <c r="C181" s="8"/>
      <c r="D181" s="8"/>
      <c r="E181" s="9">
        <f>SUMIF(খতিয়ান!C:C, A181, খতিয়ান!F:F) - SUMIF(খতিয়ান!C:C, A181, খতিয়ান!G:G)</f>
        <v>0</v>
      </c>
      <c r="F181" s="10" t="str">
        <f t="shared" si="2"/>
        <v/>
      </c>
    </row>
    <row r="182" spans="1:6" x14ac:dyDescent="0.55000000000000004">
      <c r="A182" s="8"/>
      <c r="B182" s="8"/>
      <c r="C182" s="8"/>
      <c r="D182" s="8"/>
      <c r="E182" s="9">
        <f>SUMIF(খতিয়ান!C:C, A182, খতিয়ান!F:F) - SUMIF(খতিয়ান!C:C, A182, খতিয়ান!G:G)</f>
        <v>0</v>
      </c>
      <c r="F182" s="10" t="str">
        <f t="shared" si="2"/>
        <v/>
      </c>
    </row>
    <row r="183" spans="1:6" x14ac:dyDescent="0.55000000000000004">
      <c r="A183" s="8"/>
      <c r="B183" s="8"/>
      <c r="C183" s="8"/>
      <c r="D183" s="8"/>
      <c r="E183" s="9">
        <f>SUMIF(খতিয়ান!C:C, A183, খতিয়ান!F:F) - SUMIF(খতিয়ান!C:C, A183, খতিয়ান!G:G)</f>
        <v>0</v>
      </c>
      <c r="F183" s="10" t="str">
        <f t="shared" si="2"/>
        <v/>
      </c>
    </row>
    <row r="184" spans="1:6" x14ac:dyDescent="0.55000000000000004">
      <c r="A184" s="8"/>
      <c r="B184" s="8"/>
      <c r="C184" s="8"/>
      <c r="D184" s="8"/>
      <c r="E184" s="9">
        <f>SUMIF(খতিয়ান!C:C, A184, খতিয়ান!F:F) - SUMIF(খতিয়ান!C:C, A184, খতিয়ান!G:G)</f>
        <v>0</v>
      </c>
      <c r="F184" s="10" t="str">
        <f t="shared" si="2"/>
        <v/>
      </c>
    </row>
    <row r="185" spans="1:6" x14ac:dyDescent="0.55000000000000004">
      <c r="A185" s="8"/>
      <c r="B185" s="8"/>
      <c r="C185" s="8"/>
      <c r="D185" s="8"/>
      <c r="E185" s="9">
        <f>SUMIF(খতিয়ান!C:C, A185, খতিয়ান!F:F) - SUMIF(খতিয়ান!C:C, A185, খতিয়ান!G:G)</f>
        <v>0</v>
      </c>
      <c r="F185" s="10" t="str">
        <f t="shared" si="2"/>
        <v/>
      </c>
    </row>
    <row r="186" spans="1:6" x14ac:dyDescent="0.55000000000000004">
      <c r="A186" s="8"/>
      <c r="B186" s="8"/>
      <c r="C186" s="8"/>
      <c r="D186" s="8"/>
      <c r="E186" s="9">
        <f>SUMIF(খতিয়ান!C:C, A186, খতিয়ান!F:F) - SUMIF(খতিয়ান!C:C, A186, খতিয়ান!G:G)</f>
        <v>0</v>
      </c>
      <c r="F186" s="10" t="str">
        <f t="shared" si="2"/>
        <v/>
      </c>
    </row>
    <row r="187" spans="1:6" x14ac:dyDescent="0.55000000000000004">
      <c r="A187" s="8"/>
      <c r="B187" s="8"/>
      <c r="C187" s="8"/>
      <c r="D187" s="8"/>
      <c r="E187" s="9">
        <f>SUMIF(খতিয়ান!C:C, A187, খতিয়ান!F:F) - SUMIF(খতিয়ান!C:C, A187, খতিয়ান!G:G)</f>
        <v>0</v>
      </c>
      <c r="F187" s="10" t="str">
        <f t="shared" si="2"/>
        <v/>
      </c>
    </row>
    <row r="188" spans="1:6" x14ac:dyDescent="0.55000000000000004">
      <c r="A188" s="8"/>
      <c r="B188" s="8"/>
      <c r="C188" s="8"/>
      <c r="D188" s="8"/>
      <c r="E188" s="9">
        <f>SUMIF(খতিয়ান!C:C, A188, খতিয়ান!F:F) - SUMIF(খতিয়ান!C:C, A188, খতিয়ান!G:G)</f>
        <v>0</v>
      </c>
      <c r="F188" s="10" t="str">
        <f t="shared" si="2"/>
        <v/>
      </c>
    </row>
    <row r="189" spans="1:6" x14ac:dyDescent="0.55000000000000004">
      <c r="A189" s="8"/>
      <c r="B189" s="8"/>
      <c r="C189" s="8"/>
      <c r="D189" s="8"/>
      <c r="E189" s="9">
        <f>SUMIF(খতিয়ান!C:C, A189, খতিয়ান!F:F) - SUMIF(খতিয়ান!C:C, A189, খতিয়ান!G:G)</f>
        <v>0</v>
      </c>
      <c r="F189" s="10" t="str">
        <f t="shared" si="2"/>
        <v/>
      </c>
    </row>
    <row r="190" spans="1:6" x14ac:dyDescent="0.55000000000000004">
      <c r="A190" s="8"/>
      <c r="B190" s="8"/>
      <c r="C190" s="8"/>
      <c r="D190" s="8"/>
      <c r="E190" s="9">
        <f>SUMIF(খতিয়ান!C:C, A190, খতিয়ান!F:F) - SUMIF(খতিয়ান!C:C, A190, খতিয়ান!G:G)</f>
        <v>0</v>
      </c>
      <c r="F190" s="10" t="str">
        <f t="shared" si="2"/>
        <v/>
      </c>
    </row>
    <row r="191" spans="1:6" x14ac:dyDescent="0.55000000000000004">
      <c r="A191" s="8"/>
      <c r="B191" s="8"/>
      <c r="C191" s="8"/>
      <c r="D191" s="8"/>
      <c r="E191" s="9">
        <f>SUMIF(খতিয়ান!C:C, A191, খতিয়ান!F:F) - SUMIF(খতিয়ান!C:C, A191, খতিয়ান!G:G)</f>
        <v>0</v>
      </c>
      <c r="F191" s="10" t="str">
        <f t="shared" si="2"/>
        <v/>
      </c>
    </row>
    <row r="192" spans="1:6" x14ac:dyDescent="0.55000000000000004">
      <c r="A192" s="8"/>
      <c r="B192" s="8"/>
      <c r="C192" s="8"/>
      <c r="D192" s="8"/>
      <c r="E192" s="9">
        <f>SUMIF(খতিয়ান!C:C, A192, খতিয়ান!F:F) - SUMIF(খতিয়ান!C:C, A192, খতিয়ান!G:G)</f>
        <v>0</v>
      </c>
      <c r="F192" s="10" t="str">
        <f t="shared" si="2"/>
        <v/>
      </c>
    </row>
    <row r="193" spans="1:6" x14ac:dyDescent="0.55000000000000004">
      <c r="A193" s="8"/>
      <c r="B193" s="8"/>
      <c r="C193" s="8"/>
      <c r="D193" s="8"/>
      <c r="E193" s="9">
        <f>SUMIF(খতিয়ান!C:C, A193, খতিয়ান!F:F) - SUMIF(খতিয়ান!C:C, A193, খতিয়ান!G:G)</f>
        <v>0</v>
      </c>
      <c r="F193" s="10" t="str">
        <f t="shared" si="2"/>
        <v/>
      </c>
    </row>
    <row r="194" spans="1:6" x14ac:dyDescent="0.55000000000000004">
      <c r="A194" s="8"/>
      <c r="B194" s="8"/>
      <c r="C194" s="8"/>
      <c r="D194" s="8"/>
      <c r="E194" s="9">
        <f>SUMIF(খতিয়ান!C:C, A194, খতিয়ান!F:F) - SUMIF(খতিয়ান!C:C, A194, খতিয়ান!G:G)</f>
        <v>0</v>
      </c>
      <c r="F194" s="10" t="str">
        <f t="shared" si="2"/>
        <v/>
      </c>
    </row>
    <row r="195" spans="1:6" x14ac:dyDescent="0.55000000000000004">
      <c r="A195" s="8"/>
      <c r="B195" s="8"/>
      <c r="C195" s="8"/>
      <c r="D195" s="8"/>
      <c r="E195" s="9">
        <f>SUMIF(খতিয়ান!C:C, A195, খতিয়ান!F:F) - SUMIF(খতিয়ান!C:C, A195, খতিয়ান!G:G)</f>
        <v>0</v>
      </c>
      <c r="F195" s="10" t="str">
        <f t="shared" si="2"/>
        <v/>
      </c>
    </row>
    <row r="196" spans="1:6" x14ac:dyDescent="0.55000000000000004">
      <c r="A196" s="8"/>
      <c r="B196" s="8"/>
      <c r="C196" s="8"/>
      <c r="D196" s="8"/>
      <c r="E196" s="9">
        <f>SUMIF(খতিয়ান!C:C, A196, খতিয়ান!F:F) - SUMIF(খতিয়ান!C:C, A196, খতিয়ান!G:G)</f>
        <v>0</v>
      </c>
      <c r="F196" s="10" t="str">
        <f t="shared" ref="F196:F259" si="3">IF(OR(ISBLANK(C196), E196&lt;=0), "", HYPERLINK("https://wa.me/88"&amp;C196&amp;"?text=আসসালামু আলাইকুম "&amp;B196&amp;", আপনার মোট বকেয়া "&amp;TEXT(E196,"0")&amp;" টাকা। অনুগ্রহ করে পরিশোধ করবেন।", "✉️ মেসেজ পাঠান"))</f>
        <v/>
      </c>
    </row>
    <row r="197" spans="1:6" x14ac:dyDescent="0.55000000000000004">
      <c r="A197" s="8"/>
      <c r="B197" s="8"/>
      <c r="C197" s="8"/>
      <c r="D197" s="8"/>
      <c r="E197" s="9">
        <f>SUMIF(খতিয়ান!C:C, A197, খতিয়ান!F:F) - SUMIF(খতিয়ান!C:C, A197, খতিয়ান!G:G)</f>
        <v>0</v>
      </c>
      <c r="F197" s="10" t="str">
        <f t="shared" si="3"/>
        <v/>
      </c>
    </row>
    <row r="198" spans="1:6" x14ac:dyDescent="0.55000000000000004">
      <c r="A198" s="8"/>
      <c r="B198" s="8"/>
      <c r="C198" s="8"/>
      <c r="D198" s="8"/>
      <c r="E198" s="9">
        <f>SUMIF(খতিয়ান!C:C, A198, খতিয়ান!F:F) - SUMIF(খতিয়ান!C:C, A198, খতিয়ান!G:G)</f>
        <v>0</v>
      </c>
      <c r="F198" s="10" t="str">
        <f t="shared" si="3"/>
        <v/>
      </c>
    </row>
    <row r="199" spans="1:6" x14ac:dyDescent="0.55000000000000004">
      <c r="A199" s="8"/>
      <c r="B199" s="8"/>
      <c r="C199" s="8"/>
      <c r="D199" s="8"/>
      <c r="E199" s="9">
        <f>SUMIF(খতিয়ান!C:C, A199, খতিয়ান!F:F) - SUMIF(খতিয়ান!C:C, A199, খতিয়ান!G:G)</f>
        <v>0</v>
      </c>
      <c r="F199" s="10" t="str">
        <f t="shared" si="3"/>
        <v/>
      </c>
    </row>
    <row r="200" spans="1:6" x14ac:dyDescent="0.55000000000000004">
      <c r="A200" s="8"/>
      <c r="B200" s="8"/>
      <c r="C200" s="8"/>
      <c r="D200" s="8"/>
      <c r="E200" s="9">
        <f>SUMIF(খতিয়ান!C:C, A200, খতিয়ান!F:F) - SUMIF(খতিয়ান!C:C, A200, খতিয়ান!G:G)</f>
        <v>0</v>
      </c>
      <c r="F200" s="10" t="str">
        <f t="shared" si="3"/>
        <v/>
      </c>
    </row>
    <row r="201" spans="1:6" x14ac:dyDescent="0.55000000000000004">
      <c r="A201" s="8"/>
      <c r="B201" s="8"/>
      <c r="C201" s="8"/>
      <c r="D201" s="8"/>
      <c r="E201" s="9">
        <f>SUMIF(খতিয়ান!C:C, A201, খতিয়ান!F:F) - SUMIF(খতিয়ান!C:C, A201, খতিয়ান!G:G)</f>
        <v>0</v>
      </c>
      <c r="F201" s="10" t="str">
        <f t="shared" si="3"/>
        <v/>
      </c>
    </row>
    <row r="202" spans="1:6" x14ac:dyDescent="0.55000000000000004">
      <c r="A202" s="8"/>
      <c r="B202" s="8"/>
      <c r="C202" s="8"/>
      <c r="D202" s="8"/>
      <c r="E202" s="9">
        <f>SUMIF(খতিয়ান!C:C, A202, খতিয়ান!F:F) - SUMIF(খতিয়ান!C:C, A202, খতিয়ান!G:G)</f>
        <v>0</v>
      </c>
      <c r="F202" s="10" t="str">
        <f t="shared" si="3"/>
        <v/>
      </c>
    </row>
    <row r="203" spans="1:6" x14ac:dyDescent="0.55000000000000004">
      <c r="A203" s="8"/>
      <c r="B203" s="8"/>
      <c r="C203" s="8"/>
      <c r="D203" s="8"/>
      <c r="E203" s="9">
        <f>SUMIF(খতিয়ান!C:C, A203, খতিয়ান!F:F) - SUMIF(খতিয়ান!C:C, A203, খতিয়ান!G:G)</f>
        <v>0</v>
      </c>
      <c r="F203" s="10" t="str">
        <f t="shared" si="3"/>
        <v/>
      </c>
    </row>
    <row r="204" spans="1:6" x14ac:dyDescent="0.55000000000000004">
      <c r="A204" s="8"/>
      <c r="B204" s="8"/>
      <c r="C204" s="8"/>
      <c r="D204" s="8"/>
      <c r="E204" s="9">
        <f>SUMIF(খতিয়ান!C:C, A204, খতিয়ান!F:F) - SUMIF(খতিয়ান!C:C, A204, খতিয়ান!G:G)</f>
        <v>0</v>
      </c>
      <c r="F204" s="10" t="str">
        <f t="shared" si="3"/>
        <v/>
      </c>
    </row>
    <row r="205" spans="1:6" x14ac:dyDescent="0.55000000000000004">
      <c r="A205" s="8"/>
      <c r="B205" s="8"/>
      <c r="C205" s="8"/>
      <c r="D205" s="8"/>
      <c r="E205" s="9">
        <f>SUMIF(খতিয়ান!C:C, A205, খতিয়ান!F:F) - SUMIF(খতিয়ান!C:C, A205, খতিয়ান!G:G)</f>
        <v>0</v>
      </c>
      <c r="F205" s="10" t="str">
        <f t="shared" si="3"/>
        <v/>
      </c>
    </row>
    <row r="206" spans="1:6" x14ac:dyDescent="0.55000000000000004">
      <c r="A206" s="8"/>
      <c r="B206" s="8"/>
      <c r="C206" s="8"/>
      <c r="D206" s="8"/>
      <c r="E206" s="9">
        <f>SUMIF(খতিয়ান!C:C, A206, খতিয়ান!F:F) - SUMIF(খতিয়ান!C:C, A206, খতিয়ান!G:G)</f>
        <v>0</v>
      </c>
      <c r="F206" s="10" t="str">
        <f t="shared" si="3"/>
        <v/>
      </c>
    </row>
    <row r="207" spans="1:6" x14ac:dyDescent="0.55000000000000004">
      <c r="A207" s="8"/>
      <c r="B207" s="8"/>
      <c r="C207" s="8"/>
      <c r="D207" s="8"/>
      <c r="E207" s="9">
        <f>SUMIF(খতিয়ান!C:C, A207, খতিয়ান!F:F) - SUMIF(খতিয়ান!C:C, A207, খতিয়ান!G:G)</f>
        <v>0</v>
      </c>
      <c r="F207" s="10" t="str">
        <f t="shared" si="3"/>
        <v/>
      </c>
    </row>
    <row r="208" spans="1:6" x14ac:dyDescent="0.55000000000000004">
      <c r="A208" s="8"/>
      <c r="B208" s="8"/>
      <c r="C208" s="8"/>
      <c r="D208" s="8"/>
      <c r="E208" s="9">
        <f>SUMIF(খতিয়ান!C:C, A208, খতিয়ান!F:F) - SUMIF(খতিয়ান!C:C, A208, খতিয়ান!G:G)</f>
        <v>0</v>
      </c>
      <c r="F208" s="10" t="str">
        <f t="shared" si="3"/>
        <v/>
      </c>
    </row>
    <row r="209" spans="1:6" x14ac:dyDescent="0.55000000000000004">
      <c r="A209" s="8"/>
      <c r="B209" s="8"/>
      <c r="C209" s="8"/>
      <c r="D209" s="8"/>
      <c r="E209" s="9">
        <f>SUMIF(খতিয়ান!C:C, A209, খতিয়ান!F:F) - SUMIF(খতিয়ান!C:C, A209, খতিয়ান!G:G)</f>
        <v>0</v>
      </c>
      <c r="F209" s="10" t="str">
        <f t="shared" si="3"/>
        <v/>
      </c>
    </row>
    <row r="210" spans="1:6" x14ac:dyDescent="0.55000000000000004">
      <c r="A210" s="8"/>
      <c r="B210" s="8"/>
      <c r="C210" s="8"/>
      <c r="D210" s="8"/>
      <c r="E210" s="9">
        <f>SUMIF(খতিয়ান!C:C, A210, খতিয়ান!F:F) - SUMIF(খতিয়ান!C:C, A210, খতিয়ান!G:G)</f>
        <v>0</v>
      </c>
      <c r="F210" s="10" t="str">
        <f t="shared" si="3"/>
        <v/>
      </c>
    </row>
    <row r="211" spans="1:6" x14ac:dyDescent="0.55000000000000004">
      <c r="A211" s="8"/>
      <c r="B211" s="8"/>
      <c r="C211" s="8"/>
      <c r="D211" s="8"/>
      <c r="E211" s="9">
        <f>SUMIF(খতিয়ান!C:C, A211, খতিয়ান!F:F) - SUMIF(খতিয়ান!C:C, A211, খতিয়ান!G:G)</f>
        <v>0</v>
      </c>
      <c r="F211" s="10" t="str">
        <f t="shared" si="3"/>
        <v/>
      </c>
    </row>
    <row r="212" spans="1:6" x14ac:dyDescent="0.55000000000000004">
      <c r="A212" s="8"/>
      <c r="B212" s="8"/>
      <c r="C212" s="8"/>
      <c r="D212" s="8"/>
      <c r="E212" s="9">
        <f>SUMIF(খতিয়ান!C:C, A212, খতিয়ান!F:F) - SUMIF(খতিয়ান!C:C, A212, খতিয়ান!G:G)</f>
        <v>0</v>
      </c>
      <c r="F212" s="10" t="str">
        <f t="shared" si="3"/>
        <v/>
      </c>
    </row>
    <row r="213" spans="1:6" x14ac:dyDescent="0.55000000000000004">
      <c r="A213" s="8"/>
      <c r="B213" s="8"/>
      <c r="C213" s="8"/>
      <c r="D213" s="8"/>
      <c r="E213" s="9">
        <f>SUMIF(খতিয়ান!C:C, A213, খতিয়ান!F:F) - SUMIF(খতিয়ান!C:C, A213, খতিয়ান!G:G)</f>
        <v>0</v>
      </c>
      <c r="F213" s="10" t="str">
        <f t="shared" si="3"/>
        <v/>
      </c>
    </row>
    <row r="214" spans="1:6" x14ac:dyDescent="0.55000000000000004">
      <c r="A214" s="8"/>
      <c r="B214" s="8"/>
      <c r="C214" s="8"/>
      <c r="D214" s="8"/>
      <c r="E214" s="9">
        <f>SUMIF(খতিয়ান!C:C, A214, খতিয়ান!F:F) - SUMIF(খতিয়ান!C:C, A214, খতিয়ান!G:G)</f>
        <v>0</v>
      </c>
      <c r="F214" s="10" t="str">
        <f t="shared" si="3"/>
        <v/>
      </c>
    </row>
    <row r="215" spans="1:6" x14ac:dyDescent="0.55000000000000004">
      <c r="A215" s="8"/>
      <c r="B215" s="8"/>
      <c r="C215" s="8"/>
      <c r="D215" s="8"/>
      <c r="E215" s="9">
        <f>SUMIF(খতিয়ান!C:C, A215, খতিয়ান!F:F) - SUMIF(খতিয়ান!C:C, A215, খতিয়ান!G:G)</f>
        <v>0</v>
      </c>
      <c r="F215" s="10" t="str">
        <f t="shared" si="3"/>
        <v/>
      </c>
    </row>
    <row r="216" spans="1:6" x14ac:dyDescent="0.55000000000000004">
      <c r="A216" s="8"/>
      <c r="B216" s="8"/>
      <c r="C216" s="8"/>
      <c r="D216" s="8"/>
      <c r="E216" s="9">
        <f>SUMIF(খতিয়ান!C:C, A216, খতিয়ান!F:F) - SUMIF(খতিয়ান!C:C, A216, খতিয়ান!G:G)</f>
        <v>0</v>
      </c>
      <c r="F216" s="10" t="str">
        <f t="shared" si="3"/>
        <v/>
      </c>
    </row>
    <row r="217" spans="1:6" x14ac:dyDescent="0.55000000000000004">
      <c r="A217" s="8"/>
      <c r="B217" s="8"/>
      <c r="C217" s="8"/>
      <c r="D217" s="8"/>
      <c r="E217" s="9">
        <f>SUMIF(খতিয়ান!C:C, A217, খতিয়ান!F:F) - SUMIF(খতিয়ান!C:C, A217, খতিয়ান!G:G)</f>
        <v>0</v>
      </c>
      <c r="F217" s="10" t="str">
        <f t="shared" si="3"/>
        <v/>
      </c>
    </row>
    <row r="218" spans="1:6" x14ac:dyDescent="0.55000000000000004">
      <c r="A218" s="8"/>
      <c r="B218" s="8"/>
      <c r="C218" s="8"/>
      <c r="D218" s="8"/>
      <c r="E218" s="9">
        <f>SUMIF(খতিয়ান!C:C, A218, খতিয়ান!F:F) - SUMIF(খতিয়ান!C:C, A218, খতিয়ান!G:G)</f>
        <v>0</v>
      </c>
      <c r="F218" s="10" t="str">
        <f t="shared" si="3"/>
        <v/>
      </c>
    </row>
    <row r="219" spans="1:6" x14ac:dyDescent="0.55000000000000004">
      <c r="A219" s="8"/>
      <c r="B219" s="8"/>
      <c r="C219" s="8"/>
      <c r="D219" s="8"/>
      <c r="E219" s="9">
        <f>SUMIF(খতিয়ান!C:C, A219, খতিয়ান!F:F) - SUMIF(খতিয়ান!C:C, A219, খতিয়ান!G:G)</f>
        <v>0</v>
      </c>
      <c r="F219" s="10" t="str">
        <f t="shared" si="3"/>
        <v/>
      </c>
    </row>
    <row r="220" spans="1:6" x14ac:dyDescent="0.55000000000000004">
      <c r="A220" s="8"/>
      <c r="B220" s="8"/>
      <c r="C220" s="8"/>
      <c r="D220" s="8"/>
      <c r="E220" s="9">
        <f>SUMIF(খতিয়ান!C:C, A220, খতিয়ান!F:F) - SUMIF(খতিয়ান!C:C, A220, খতিয়ান!G:G)</f>
        <v>0</v>
      </c>
      <c r="F220" s="10" t="str">
        <f t="shared" si="3"/>
        <v/>
      </c>
    </row>
    <row r="221" spans="1:6" x14ac:dyDescent="0.55000000000000004">
      <c r="A221" s="8"/>
      <c r="B221" s="8"/>
      <c r="C221" s="8"/>
      <c r="D221" s="8"/>
      <c r="E221" s="9">
        <f>SUMIF(খতিয়ান!C:C, A221, খতিয়ান!F:F) - SUMIF(খতিয়ান!C:C, A221, খতিয়ান!G:G)</f>
        <v>0</v>
      </c>
      <c r="F221" s="10" t="str">
        <f t="shared" si="3"/>
        <v/>
      </c>
    </row>
    <row r="222" spans="1:6" x14ac:dyDescent="0.55000000000000004">
      <c r="A222" s="8"/>
      <c r="B222" s="8"/>
      <c r="C222" s="8"/>
      <c r="D222" s="8"/>
      <c r="E222" s="9">
        <f>SUMIF(খতিয়ান!C:C, A222, খতিয়ান!F:F) - SUMIF(খতিয়ান!C:C, A222, খতিয়ান!G:G)</f>
        <v>0</v>
      </c>
      <c r="F222" s="10" t="str">
        <f t="shared" si="3"/>
        <v/>
      </c>
    </row>
    <row r="223" spans="1:6" x14ac:dyDescent="0.55000000000000004">
      <c r="A223" s="8"/>
      <c r="B223" s="8"/>
      <c r="C223" s="8"/>
      <c r="D223" s="8"/>
      <c r="E223" s="9">
        <f>SUMIF(খতিয়ান!C:C, A223, খতিয়ান!F:F) - SUMIF(খতিয়ান!C:C, A223, খতিয়ান!G:G)</f>
        <v>0</v>
      </c>
      <c r="F223" s="10" t="str">
        <f t="shared" si="3"/>
        <v/>
      </c>
    </row>
    <row r="224" spans="1:6" x14ac:dyDescent="0.55000000000000004">
      <c r="A224" s="8"/>
      <c r="B224" s="8"/>
      <c r="C224" s="8"/>
      <c r="D224" s="8"/>
      <c r="E224" s="9">
        <f>SUMIF(খতিয়ান!C:C, A224, খতিয়ান!F:F) - SUMIF(খতিয়ান!C:C, A224, খতিয়ান!G:G)</f>
        <v>0</v>
      </c>
      <c r="F224" s="10" t="str">
        <f t="shared" si="3"/>
        <v/>
      </c>
    </row>
    <row r="225" spans="1:6" x14ac:dyDescent="0.55000000000000004">
      <c r="A225" s="8"/>
      <c r="B225" s="8"/>
      <c r="C225" s="8"/>
      <c r="D225" s="8"/>
      <c r="E225" s="9">
        <f>SUMIF(খতিয়ান!C:C, A225, খতিয়ান!F:F) - SUMIF(খতিয়ান!C:C, A225, খতিয়ান!G:G)</f>
        <v>0</v>
      </c>
      <c r="F225" s="10" t="str">
        <f t="shared" si="3"/>
        <v/>
      </c>
    </row>
    <row r="226" spans="1:6" x14ac:dyDescent="0.55000000000000004">
      <c r="A226" s="8"/>
      <c r="B226" s="8"/>
      <c r="C226" s="8"/>
      <c r="D226" s="8"/>
      <c r="E226" s="9">
        <f>SUMIF(খতিয়ান!C:C, A226, খতিয়ান!F:F) - SUMIF(খতিয়ান!C:C, A226, খতিয়ান!G:G)</f>
        <v>0</v>
      </c>
      <c r="F226" s="10" t="str">
        <f t="shared" si="3"/>
        <v/>
      </c>
    </row>
    <row r="227" spans="1:6" x14ac:dyDescent="0.55000000000000004">
      <c r="A227" s="8"/>
      <c r="B227" s="8"/>
      <c r="C227" s="8"/>
      <c r="D227" s="8"/>
      <c r="E227" s="9">
        <f>SUMIF(খতিয়ান!C:C, A227, খতিয়ান!F:F) - SUMIF(খতিয়ান!C:C, A227, খতিয়ান!G:G)</f>
        <v>0</v>
      </c>
      <c r="F227" s="10" t="str">
        <f t="shared" si="3"/>
        <v/>
      </c>
    </row>
    <row r="228" spans="1:6" x14ac:dyDescent="0.55000000000000004">
      <c r="A228" s="8"/>
      <c r="B228" s="8"/>
      <c r="C228" s="8"/>
      <c r="D228" s="8"/>
      <c r="E228" s="9">
        <f>SUMIF(খতিয়ান!C:C, A228, খতিয়ান!F:F) - SUMIF(খতিয়ান!C:C, A228, খতিয়ান!G:G)</f>
        <v>0</v>
      </c>
      <c r="F228" s="10" t="str">
        <f t="shared" si="3"/>
        <v/>
      </c>
    </row>
    <row r="229" spans="1:6" x14ac:dyDescent="0.55000000000000004">
      <c r="A229" s="8"/>
      <c r="B229" s="8"/>
      <c r="C229" s="8"/>
      <c r="D229" s="8"/>
      <c r="E229" s="9">
        <f>SUMIF(খতিয়ান!C:C, A229, খতিয়ান!F:F) - SUMIF(খতিয়ান!C:C, A229, খতিয়ান!G:G)</f>
        <v>0</v>
      </c>
      <c r="F229" s="10" t="str">
        <f t="shared" si="3"/>
        <v/>
      </c>
    </row>
    <row r="230" spans="1:6" x14ac:dyDescent="0.55000000000000004">
      <c r="A230" s="8"/>
      <c r="B230" s="8"/>
      <c r="C230" s="8"/>
      <c r="D230" s="8"/>
      <c r="E230" s="9">
        <f>SUMIF(খতিয়ান!C:C, A230, খতিয়ান!F:F) - SUMIF(খতিয়ান!C:C, A230, খতিয়ান!G:G)</f>
        <v>0</v>
      </c>
      <c r="F230" s="10" t="str">
        <f t="shared" si="3"/>
        <v/>
      </c>
    </row>
    <row r="231" spans="1:6" x14ac:dyDescent="0.55000000000000004">
      <c r="A231" s="8"/>
      <c r="B231" s="8"/>
      <c r="C231" s="8"/>
      <c r="D231" s="8"/>
      <c r="E231" s="9">
        <f>SUMIF(খতিয়ান!C:C, A231, খতিয়ান!F:F) - SUMIF(খতিয়ান!C:C, A231, খতিয়ান!G:G)</f>
        <v>0</v>
      </c>
      <c r="F231" s="10" t="str">
        <f t="shared" si="3"/>
        <v/>
      </c>
    </row>
    <row r="232" spans="1:6" x14ac:dyDescent="0.55000000000000004">
      <c r="A232" s="8"/>
      <c r="B232" s="8"/>
      <c r="C232" s="8"/>
      <c r="D232" s="8"/>
      <c r="E232" s="9">
        <f>SUMIF(খতিয়ান!C:C, A232, খতিয়ান!F:F) - SUMIF(খতিয়ান!C:C, A232, খতিয়ান!G:G)</f>
        <v>0</v>
      </c>
      <c r="F232" s="10" t="str">
        <f t="shared" si="3"/>
        <v/>
      </c>
    </row>
    <row r="233" spans="1:6" x14ac:dyDescent="0.55000000000000004">
      <c r="A233" s="8"/>
      <c r="B233" s="8"/>
      <c r="C233" s="8"/>
      <c r="D233" s="8"/>
      <c r="E233" s="9">
        <f>SUMIF(খতিয়ান!C:C, A233, খতিয়ান!F:F) - SUMIF(খতিয়ান!C:C, A233, খতিয়ান!G:G)</f>
        <v>0</v>
      </c>
      <c r="F233" s="10" t="str">
        <f t="shared" si="3"/>
        <v/>
      </c>
    </row>
    <row r="234" spans="1:6" x14ac:dyDescent="0.55000000000000004">
      <c r="A234" s="8"/>
      <c r="B234" s="8"/>
      <c r="C234" s="8"/>
      <c r="D234" s="8"/>
      <c r="E234" s="9">
        <f>SUMIF(খতিয়ান!C:C, A234, খতিয়ান!F:F) - SUMIF(খতিয়ান!C:C, A234, খতিয়ান!G:G)</f>
        <v>0</v>
      </c>
      <c r="F234" s="10" t="str">
        <f t="shared" si="3"/>
        <v/>
      </c>
    </row>
    <row r="235" spans="1:6" x14ac:dyDescent="0.55000000000000004">
      <c r="A235" s="8"/>
      <c r="B235" s="8"/>
      <c r="C235" s="8"/>
      <c r="D235" s="8"/>
      <c r="E235" s="9">
        <f>SUMIF(খতিয়ান!C:C, A235, খতিয়ান!F:F) - SUMIF(খতিয়ান!C:C, A235, খতিয়ান!G:G)</f>
        <v>0</v>
      </c>
      <c r="F235" s="10" t="str">
        <f t="shared" si="3"/>
        <v/>
      </c>
    </row>
    <row r="236" spans="1:6" x14ac:dyDescent="0.55000000000000004">
      <c r="A236" s="8"/>
      <c r="B236" s="8"/>
      <c r="C236" s="8"/>
      <c r="D236" s="8"/>
      <c r="E236" s="9">
        <f>SUMIF(খতিয়ান!C:C, A236, খতিয়ান!F:F) - SUMIF(খতিয়ান!C:C, A236, খতিয়ান!G:G)</f>
        <v>0</v>
      </c>
      <c r="F236" s="10" t="str">
        <f t="shared" si="3"/>
        <v/>
      </c>
    </row>
    <row r="237" spans="1:6" x14ac:dyDescent="0.55000000000000004">
      <c r="A237" s="8"/>
      <c r="B237" s="8"/>
      <c r="C237" s="8"/>
      <c r="D237" s="8"/>
      <c r="E237" s="9">
        <f>SUMIF(খতিয়ান!C:C, A237, খতিয়ান!F:F) - SUMIF(খতিয়ান!C:C, A237, খতিয়ান!G:G)</f>
        <v>0</v>
      </c>
      <c r="F237" s="10" t="str">
        <f t="shared" si="3"/>
        <v/>
      </c>
    </row>
    <row r="238" spans="1:6" x14ac:dyDescent="0.55000000000000004">
      <c r="A238" s="8"/>
      <c r="B238" s="8"/>
      <c r="C238" s="8"/>
      <c r="D238" s="8"/>
      <c r="E238" s="9">
        <f>SUMIF(খতিয়ান!C:C, A238, খতিয়ান!F:F) - SUMIF(খতিয়ান!C:C, A238, খতিয়ান!G:G)</f>
        <v>0</v>
      </c>
      <c r="F238" s="10" t="str">
        <f t="shared" si="3"/>
        <v/>
      </c>
    </row>
    <row r="239" spans="1:6" x14ac:dyDescent="0.55000000000000004">
      <c r="A239" s="8"/>
      <c r="B239" s="8"/>
      <c r="C239" s="8"/>
      <c r="D239" s="8"/>
      <c r="E239" s="9">
        <f>SUMIF(খতিয়ান!C:C, A239, খতিয়ান!F:F) - SUMIF(খতিয়ান!C:C, A239, খতিয়ান!G:G)</f>
        <v>0</v>
      </c>
      <c r="F239" s="10" t="str">
        <f t="shared" si="3"/>
        <v/>
      </c>
    </row>
    <row r="240" spans="1:6" x14ac:dyDescent="0.55000000000000004">
      <c r="A240" s="8"/>
      <c r="B240" s="8"/>
      <c r="C240" s="8"/>
      <c r="D240" s="8"/>
      <c r="E240" s="9">
        <f>SUMIF(খতিয়ান!C:C, A240, খতিয়ান!F:F) - SUMIF(খতিয়ান!C:C, A240, খতিয়ান!G:G)</f>
        <v>0</v>
      </c>
      <c r="F240" s="10" t="str">
        <f t="shared" si="3"/>
        <v/>
      </c>
    </row>
    <row r="241" spans="1:6" x14ac:dyDescent="0.55000000000000004">
      <c r="A241" s="8"/>
      <c r="B241" s="8"/>
      <c r="C241" s="8"/>
      <c r="D241" s="8"/>
      <c r="E241" s="9">
        <f>SUMIF(খতিয়ান!C:C, A241, খতিয়ান!F:F) - SUMIF(খতিয়ান!C:C, A241, খতিয়ান!G:G)</f>
        <v>0</v>
      </c>
      <c r="F241" s="10" t="str">
        <f t="shared" si="3"/>
        <v/>
      </c>
    </row>
    <row r="242" spans="1:6" x14ac:dyDescent="0.55000000000000004">
      <c r="A242" s="8"/>
      <c r="B242" s="8"/>
      <c r="C242" s="8"/>
      <c r="D242" s="8"/>
      <c r="E242" s="9">
        <f>SUMIF(খতিয়ান!C:C, A242, খতিয়ান!F:F) - SUMIF(খতিয়ান!C:C, A242, খতিয়ান!G:G)</f>
        <v>0</v>
      </c>
      <c r="F242" s="10" t="str">
        <f t="shared" si="3"/>
        <v/>
      </c>
    </row>
    <row r="243" spans="1:6" x14ac:dyDescent="0.55000000000000004">
      <c r="A243" s="8"/>
      <c r="B243" s="8"/>
      <c r="C243" s="8"/>
      <c r="D243" s="8"/>
      <c r="E243" s="9">
        <f>SUMIF(খতিয়ান!C:C, A243, খতিয়ান!F:F) - SUMIF(খতিয়ান!C:C, A243, খতিয়ান!G:G)</f>
        <v>0</v>
      </c>
      <c r="F243" s="10" t="str">
        <f t="shared" si="3"/>
        <v/>
      </c>
    </row>
    <row r="244" spans="1:6" x14ac:dyDescent="0.55000000000000004">
      <c r="A244" s="8"/>
      <c r="B244" s="8"/>
      <c r="C244" s="8"/>
      <c r="D244" s="8"/>
      <c r="E244" s="9">
        <f>SUMIF(খতিয়ান!C:C, A244, খতিয়ান!F:F) - SUMIF(খতিয়ান!C:C, A244, খতিয়ান!G:G)</f>
        <v>0</v>
      </c>
      <c r="F244" s="10" t="str">
        <f t="shared" si="3"/>
        <v/>
      </c>
    </row>
    <row r="245" spans="1:6" x14ac:dyDescent="0.55000000000000004">
      <c r="A245" s="8"/>
      <c r="B245" s="8"/>
      <c r="C245" s="8"/>
      <c r="D245" s="8"/>
      <c r="E245" s="9">
        <f>SUMIF(খতিয়ান!C:C, A245, খতিয়ান!F:F) - SUMIF(খতিয়ান!C:C, A245, খতিয়ান!G:G)</f>
        <v>0</v>
      </c>
      <c r="F245" s="10" t="str">
        <f t="shared" si="3"/>
        <v/>
      </c>
    </row>
    <row r="246" spans="1:6" x14ac:dyDescent="0.55000000000000004">
      <c r="A246" s="8"/>
      <c r="B246" s="8"/>
      <c r="C246" s="8"/>
      <c r="D246" s="8"/>
      <c r="E246" s="9">
        <f>SUMIF(খতিয়ান!C:C, A246, খতিয়ান!F:F) - SUMIF(খতিয়ান!C:C, A246, খতিয়ান!G:G)</f>
        <v>0</v>
      </c>
      <c r="F246" s="10" t="str">
        <f t="shared" si="3"/>
        <v/>
      </c>
    </row>
    <row r="247" spans="1:6" x14ac:dyDescent="0.55000000000000004">
      <c r="A247" s="8"/>
      <c r="B247" s="8"/>
      <c r="C247" s="8"/>
      <c r="D247" s="8"/>
      <c r="E247" s="9">
        <f>SUMIF(খতিয়ান!C:C, A247, খতিয়ান!F:F) - SUMIF(খতিয়ান!C:C, A247, খতিয়ান!G:G)</f>
        <v>0</v>
      </c>
      <c r="F247" s="10" t="str">
        <f t="shared" si="3"/>
        <v/>
      </c>
    </row>
    <row r="248" spans="1:6" x14ac:dyDescent="0.55000000000000004">
      <c r="A248" s="8"/>
      <c r="B248" s="8"/>
      <c r="C248" s="8"/>
      <c r="D248" s="8"/>
      <c r="E248" s="9">
        <f>SUMIF(খতিয়ান!C:C, A248, খতিয়ান!F:F) - SUMIF(খতিয়ান!C:C, A248, খতিয়ান!G:G)</f>
        <v>0</v>
      </c>
      <c r="F248" s="10" t="str">
        <f t="shared" si="3"/>
        <v/>
      </c>
    </row>
    <row r="249" spans="1:6" x14ac:dyDescent="0.55000000000000004">
      <c r="A249" s="8"/>
      <c r="B249" s="8"/>
      <c r="C249" s="8"/>
      <c r="D249" s="8"/>
      <c r="E249" s="9">
        <f>SUMIF(খতিয়ান!C:C, A249, খতিয়ান!F:F) - SUMIF(খতিয়ান!C:C, A249, খতিয়ান!G:G)</f>
        <v>0</v>
      </c>
      <c r="F249" s="10" t="str">
        <f t="shared" si="3"/>
        <v/>
      </c>
    </row>
    <row r="250" spans="1:6" x14ac:dyDescent="0.55000000000000004">
      <c r="A250" s="8"/>
      <c r="B250" s="8"/>
      <c r="C250" s="8"/>
      <c r="D250" s="8"/>
      <c r="E250" s="9">
        <f>SUMIF(খতিয়ান!C:C, A250, খতিয়ান!F:F) - SUMIF(খতিয়ান!C:C, A250, খতিয়ান!G:G)</f>
        <v>0</v>
      </c>
      <c r="F250" s="10" t="str">
        <f t="shared" si="3"/>
        <v/>
      </c>
    </row>
    <row r="251" spans="1:6" x14ac:dyDescent="0.55000000000000004">
      <c r="A251" s="8"/>
      <c r="B251" s="8"/>
      <c r="C251" s="8"/>
      <c r="D251" s="8"/>
      <c r="E251" s="9">
        <f>SUMIF(খতিয়ান!C:C, A251, খতিয়ান!F:F) - SUMIF(খতিয়ান!C:C, A251, খতিয়ান!G:G)</f>
        <v>0</v>
      </c>
      <c r="F251" s="10" t="str">
        <f t="shared" si="3"/>
        <v/>
      </c>
    </row>
    <row r="252" spans="1:6" x14ac:dyDescent="0.55000000000000004">
      <c r="A252" s="8"/>
      <c r="B252" s="8"/>
      <c r="C252" s="8"/>
      <c r="D252" s="8"/>
      <c r="E252" s="9">
        <f>SUMIF(খতিয়ান!C:C, A252, খতিয়ান!F:F) - SUMIF(খতিয়ান!C:C, A252, খতিয়ান!G:G)</f>
        <v>0</v>
      </c>
      <c r="F252" s="10" t="str">
        <f t="shared" si="3"/>
        <v/>
      </c>
    </row>
    <row r="253" spans="1:6" x14ac:dyDescent="0.55000000000000004">
      <c r="A253" s="8"/>
      <c r="B253" s="8"/>
      <c r="C253" s="8"/>
      <c r="D253" s="8"/>
      <c r="E253" s="9">
        <f>SUMIF(খতিয়ান!C:C, A253, খতিয়ান!F:F) - SUMIF(খতিয়ান!C:C, A253, খতিয়ান!G:G)</f>
        <v>0</v>
      </c>
      <c r="F253" s="10" t="str">
        <f t="shared" si="3"/>
        <v/>
      </c>
    </row>
    <row r="254" spans="1:6" x14ac:dyDescent="0.55000000000000004">
      <c r="A254" s="8"/>
      <c r="B254" s="8"/>
      <c r="C254" s="8"/>
      <c r="D254" s="8"/>
      <c r="E254" s="9">
        <f>SUMIF(খতিয়ান!C:C, A254, খতিয়ান!F:F) - SUMIF(খতিয়ান!C:C, A254, খতিয়ান!G:G)</f>
        <v>0</v>
      </c>
      <c r="F254" s="10" t="str">
        <f t="shared" si="3"/>
        <v/>
      </c>
    </row>
    <row r="255" spans="1:6" x14ac:dyDescent="0.55000000000000004">
      <c r="A255" s="8"/>
      <c r="B255" s="8"/>
      <c r="C255" s="8"/>
      <c r="D255" s="8"/>
      <c r="E255" s="9">
        <f>SUMIF(খতিয়ান!C:C, A255, খতিয়ান!F:F) - SUMIF(খতিয়ান!C:C, A255, খতিয়ান!G:G)</f>
        <v>0</v>
      </c>
      <c r="F255" s="10" t="str">
        <f t="shared" si="3"/>
        <v/>
      </c>
    </row>
    <row r="256" spans="1:6" x14ac:dyDescent="0.55000000000000004">
      <c r="A256" s="8"/>
      <c r="B256" s="8"/>
      <c r="C256" s="8"/>
      <c r="D256" s="8"/>
      <c r="E256" s="9">
        <f>SUMIF(খতিয়ান!C:C, A256, খতিয়ান!F:F) - SUMIF(খতিয়ান!C:C, A256, খতিয়ান!G:G)</f>
        <v>0</v>
      </c>
      <c r="F256" s="10" t="str">
        <f t="shared" si="3"/>
        <v/>
      </c>
    </row>
    <row r="257" spans="1:6" x14ac:dyDescent="0.55000000000000004">
      <c r="A257" s="8"/>
      <c r="B257" s="8"/>
      <c r="C257" s="8"/>
      <c r="D257" s="8"/>
      <c r="E257" s="9">
        <f>SUMIF(খতিয়ান!C:C, A257, খতিয়ান!F:F) - SUMIF(খতিয়ান!C:C, A257, খতিয়ান!G:G)</f>
        <v>0</v>
      </c>
      <c r="F257" s="10" t="str">
        <f t="shared" si="3"/>
        <v/>
      </c>
    </row>
    <row r="258" spans="1:6" x14ac:dyDescent="0.55000000000000004">
      <c r="A258" s="8"/>
      <c r="B258" s="8"/>
      <c r="C258" s="8"/>
      <c r="D258" s="8"/>
      <c r="E258" s="9">
        <f>SUMIF(খতিয়ান!C:C, A258, খতিয়ান!F:F) - SUMIF(খতিয়ান!C:C, A258, খতিয়ান!G:G)</f>
        <v>0</v>
      </c>
      <c r="F258" s="10" t="str">
        <f t="shared" si="3"/>
        <v/>
      </c>
    </row>
    <row r="259" spans="1:6" x14ac:dyDescent="0.55000000000000004">
      <c r="A259" s="8"/>
      <c r="B259" s="8"/>
      <c r="C259" s="8"/>
      <c r="D259" s="8"/>
      <c r="E259" s="9">
        <f>SUMIF(খতিয়ান!C:C, A259, খতিয়ান!F:F) - SUMIF(খতিয়ান!C:C, A259, খতিয়ান!G:G)</f>
        <v>0</v>
      </c>
      <c r="F259" s="10" t="str">
        <f t="shared" si="3"/>
        <v/>
      </c>
    </row>
    <row r="260" spans="1:6" x14ac:dyDescent="0.55000000000000004">
      <c r="A260" s="8"/>
      <c r="B260" s="8"/>
      <c r="C260" s="8"/>
      <c r="D260" s="8"/>
      <c r="E260" s="9">
        <f>SUMIF(খতিয়ান!C:C, A260, খতিয়ান!F:F) - SUMIF(খতিয়ান!C:C, A260, খতিয়ান!G:G)</f>
        <v>0</v>
      </c>
      <c r="F260" s="10" t="str">
        <f t="shared" ref="F260:F323" si="4">IF(OR(ISBLANK(C260), E260&lt;=0), "", HYPERLINK("https://wa.me/88"&amp;C260&amp;"?text=আসসালামু আলাইকুম "&amp;B260&amp;", আপনার মোট বকেয়া "&amp;TEXT(E260,"0")&amp;" টাকা। অনুগ্রহ করে পরিশোধ করবেন।", "✉️ মেসেজ পাঠান"))</f>
        <v/>
      </c>
    </row>
    <row r="261" spans="1:6" x14ac:dyDescent="0.55000000000000004">
      <c r="A261" s="8"/>
      <c r="B261" s="8"/>
      <c r="C261" s="8"/>
      <c r="D261" s="8"/>
      <c r="E261" s="9">
        <f>SUMIF(খতিয়ান!C:C, A261, খতিয়ান!F:F) - SUMIF(খতিয়ান!C:C, A261, খতিয়ান!G:G)</f>
        <v>0</v>
      </c>
      <c r="F261" s="10" t="str">
        <f t="shared" si="4"/>
        <v/>
      </c>
    </row>
    <row r="262" spans="1:6" x14ac:dyDescent="0.55000000000000004">
      <c r="A262" s="8"/>
      <c r="B262" s="8"/>
      <c r="C262" s="8"/>
      <c r="D262" s="8"/>
      <c r="E262" s="9">
        <f>SUMIF(খতিয়ান!C:C, A262, খতিয়ান!F:F) - SUMIF(খতিয়ান!C:C, A262, খতিয়ান!G:G)</f>
        <v>0</v>
      </c>
      <c r="F262" s="10" t="str">
        <f t="shared" si="4"/>
        <v/>
      </c>
    </row>
    <row r="263" spans="1:6" x14ac:dyDescent="0.55000000000000004">
      <c r="A263" s="8"/>
      <c r="B263" s="8"/>
      <c r="C263" s="8"/>
      <c r="D263" s="8"/>
      <c r="E263" s="9">
        <f>SUMIF(খতিয়ান!C:C, A263, খতিয়ান!F:F) - SUMIF(খতিয়ান!C:C, A263, খতিয়ান!G:G)</f>
        <v>0</v>
      </c>
      <c r="F263" s="10" t="str">
        <f t="shared" si="4"/>
        <v/>
      </c>
    </row>
    <row r="264" spans="1:6" x14ac:dyDescent="0.55000000000000004">
      <c r="A264" s="8"/>
      <c r="B264" s="8"/>
      <c r="C264" s="8"/>
      <c r="D264" s="8"/>
      <c r="E264" s="9">
        <f>SUMIF(খতিয়ান!C:C, A264, খতিয়ান!F:F) - SUMIF(খতিয়ান!C:C, A264, খতিয়ান!G:G)</f>
        <v>0</v>
      </c>
      <c r="F264" s="10" t="str">
        <f t="shared" si="4"/>
        <v/>
      </c>
    </row>
    <row r="265" spans="1:6" x14ac:dyDescent="0.55000000000000004">
      <c r="A265" s="8"/>
      <c r="B265" s="8"/>
      <c r="C265" s="8"/>
      <c r="D265" s="8"/>
      <c r="E265" s="9">
        <f>SUMIF(খতিয়ান!C:C, A265, খতিয়ান!F:F) - SUMIF(খতিয়ান!C:C, A265, খতিয়ান!G:G)</f>
        <v>0</v>
      </c>
      <c r="F265" s="10" t="str">
        <f t="shared" si="4"/>
        <v/>
      </c>
    </row>
    <row r="266" spans="1:6" x14ac:dyDescent="0.55000000000000004">
      <c r="A266" s="8"/>
      <c r="B266" s="8"/>
      <c r="C266" s="8"/>
      <c r="D266" s="8"/>
      <c r="E266" s="9">
        <f>SUMIF(খতিয়ান!C:C, A266, খতিয়ান!F:F) - SUMIF(খতিয়ান!C:C, A266, খতিয়ান!G:G)</f>
        <v>0</v>
      </c>
      <c r="F266" s="10" t="str">
        <f t="shared" si="4"/>
        <v/>
      </c>
    </row>
    <row r="267" spans="1:6" x14ac:dyDescent="0.55000000000000004">
      <c r="A267" s="8"/>
      <c r="B267" s="8"/>
      <c r="C267" s="8"/>
      <c r="D267" s="8"/>
      <c r="E267" s="9">
        <f>SUMIF(খতিয়ান!C:C, A267, খতিয়ান!F:F) - SUMIF(খতিয়ান!C:C, A267, খতিয়ান!G:G)</f>
        <v>0</v>
      </c>
      <c r="F267" s="10" t="str">
        <f t="shared" si="4"/>
        <v/>
      </c>
    </row>
    <row r="268" spans="1:6" x14ac:dyDescent="0.55000000000000004">
      <c r="A268" s="8"/>
      <c r="B268" s="8"/>
      <c r="C268" s="8"/>
      <c r="D268" s="8"/>
      <c r="E268" s="9">
        <f>SUMIF(খতিয়ান!C:C, A268, খতিয়ান!F:F) - SUMIF(খতিয়ান!C:C, A268, খতিয়ান!G:G)</f>
        <v>0</v>
      </c>
      <c r="F268" s="10" t="str">
        <f t="shared" si="4"/>
        <v/>
      </c>
    </row>
    <row r="269" spans="1:6" x14ac:dyDescent="0.55000000000000004">
      <c r="A269" s="8"/>
      <c r="B269" s="8"/>
      <c r="C269" s="8"/>
      <c r="D269" s="8"/>
      <c r="E269" s="9">
        <f>SUMIF(খতিয়ান!C:C, A269, খতিয়ান!F:F) - SUMIF(খতিয়ান!C:C, A269, খতিয়ান!G:G)</f>
        <v>0</v>
      </c>
      <c r="F269" s="10" t="str">
        <f t="shared" si="4"/>
        <v/>
      </c>
    </row>
    <row r="270" spans="1:6" x14ac:dyDescent="0.55000000000000004">
      <c r="A270" s="8"/>
      <c r="B270" s="8"/>
      <c r="C270" s="8"/>
      <c r="D270" s="8"/>
      <c r="E270" s="9">
        <f>SUMIF(খতিয়ান!C:C, A270, খতিয়ান!F:F) - SUMIF(খতিয়ান!C:C, A270, খতিয়ান!G:G)</f>
        <v>0</v>
      </c>
      <c r="F270" s="10" t="str">
        <f t="shared" si="4"/>
        <v/>
      </c>
    </row>
    <row r="271" spans="1:6" x14ac:dyDescent="0.55000000000000004">
      <c r="A271" s="8"/>
      <c r="B271" s="8"/>
      <c r="C271" s="8"/>
      <c r="D271" s="8"/>
      <c r="E271" s="9">
        <f>SUMIF(খতিয়ান!C:C, A271, খতিয়ান!F:F) - SUMIF(খতিয়ান!C:C, A271, খতিয়ান!G:G)</f>
        <v>0</v>
      </c>
      <c r="F271" s="10" t="str">
        <f t="shared" si="4"/>
        <v/>
      </c>
    </row>
    <row r="272" spans="1:6" x14ac:dyDescent="0.55000000000000004">
      <c r="A272" s="8"/>
      <c r="B272" s="8"/>
      <c r="C272" s="8"/>
      <c r="D272" s="8"/>
      <c r="E272" s="9">
        <f>SUMIF(খতিয়ান!C:C, A272, খতিয়ান!F:F) - SUMIF(খতিয়ান!C:C, A272, খতিয়ান!G:G)</f>
        <v>0</v>
      </c>
      <c r="F272" s="10" t="str">
        <f t="shared" si="4"/>
        <v/>
      </c>
    </row>
    <row r="273" spans="1:6" x14ac:dyDescent="0.55000000000000004">
      <c r="A273" s="8"/>
      <c r="B273" s="8"/>
      <c r="C273" s="8"/>
      <c r="D273" s="8"/>
      <c r="E273" s="9">
        <f>SUMIF(খতিয়ান!C:C, A273, খতিয়ান!F:F) - SUMIF(খতিয়ান!C:C, A273, খতিয়ান!G:G)</f>
        <v>0</v>
      </c>
      <c r="F273" s="10" t="str">
        <f t="shared" si="4"/>
        <v/>
      </c>
    </row>
    <row r="274" spans="1:6" x14ac:dyDescent="0.55000000000000004">
      <c r="A274" s="8"/>
      <c r="B274" s="8"/>
      <c r="C274" s="8"/>
      <c r="D274" s="8"/>
      <c r="E274" s="9">
        <f>SUMIF(খতিয়ান!C:C, A274, খতিয়ান!F:F) - SUMIF(খতিয়ান!C:C, A274, খতিয়ান!G:G)</f>
        <v>0</v>
      </c>
      <c r="F274" s="10" t="str">
        <f t="shared" si="4"/>
        <v/>
      </c>
    </row>
    <row r="275" spans="1:6" x14ac:dyDescent="0.55000000000000004">
      <c r="A275" s="8"/>
      <c r="B275" s="8"/>
      <c r="C275" s="8"/>
      <c r="D275" s="8"/>
      <c r="E275" s="9">
        <f>SUMIF(খতিয়ান!C:C, A275, খতিয়ান!F:F) - SUMIF(খতিয়ান!C:C, A275, খতিয়ান!G:G)</f>
        <v>0</v>
      </c>
      <c r="F275" s="10" t="str">
        <f t="shared" si="4"/>
        <v/>
      </c>
    </row>
    <row r="276" spans="1:6" x14ac:dyDescent="0.55000000000000004">
      <c r="A276" s="8"/>
      <c r="B276" s="8"/>
      <c r="C276" s="8"/>
      <c r="D276" s="8"/>
      <c r="E276" s="9">
        <f>SUMIF(খতিয়ান!C:C, A276, খতিয়ান!F:F) - SUMIF(খতিয়ান!C:C, A276, খতিয়ান!G:G)</f>
        <v>0</v>
      </c>
      <c r="F276" s="10" t="str">
        <f t="shared" si="4"/>
        <v/>
      </c>
    </row>
    <row r="277" spans="1:6" x14ac:dyDescent="0.55000000000000004">
      <c r="A277" s="8"/>
      <c r="B277" s="8"/>
      <c r="C277" s="8"/>
      <c r="D277" s="8"/>
      <c r="E277" s="9">
        <f>SUMIF(খতিয়ান!C:C, A277, খতিয়ান!F:F) - SUMIF(খতিয়ান!C:C, A277, খতিয়ান!G:G)</f>
        <v>0</v>
      </c>
      <c r="F277" s="10" t="str">
        <f t="shared" si="4"/>
        <v/>
      </c>
    </row>
    <row r="278" spans="1:6" x14ac:dyDescent="0.55000000000000004">
      <c r="A278" s="8"/>
      <c r="B278" s="8"/>
      <c r="C278" s="8"/>
      <c r="D278" s="8"/>
      <c r="E278" s="9">
        <f>SUMIF(খতিয়ান!C:C, A278, খতিয়ান!F:F) - SUMIF(খতিয়ান!C:C, A278, খতিয়ান!G:G)</f>
        <v>0</v>
      </c>
      <c r="F278" s="10" t="str">
        <f t="shared" si="4"/>
        <v/>
      </c>
    </row>
    <row r="279" spans="1:6" x14ac:dyDescent="0.55000000000000004">
      <c r="A279" s="8"/>
      <c r="B279" s="8"/>
      <c r="C279" s="8"/>
      <c r="D279" s="8"/>
      <c r="E279" s="9">
        <f>SUMIF(খতিয়ান!C:C, A279, খতিয়ান!F:F) - SUMIF(খতিয়ান!C:C, A279, খতিয়ান!G:G)</f>
        <v>0</v>
      </c>
      <c r="F279" s="10" t="str">
        <f t="shared" si="4"/>
        <v/>
      </c>
    </row>
    <row r="280" spans="1:6" x14ac:dyDescent="0.55000000000000004">
      <c r="A280" s="8"/>
      <c r="B280" s="8"/>
      <c r="C280" s="8"/>
      <c r="D280" s="8"/>
      <c r="E280" s="9">
        <f>SUMIF(খতিয়ান!C:C, A280, খতিয়ান!F:F) - SUMIF(খতিয়ান!C:C, A280, খতিয়ান!G:G)</f>
        <v>0</v>
      </c>
      <c r="F280" s="10" t="str">
        <f t="shared" si="4"/>
        <v/>
      </c>
    </row>
    <row r="281" spans="1:6" x14ac:dyDescent="0.55000000000000004">
      <c r="A281" s="8"/>
      <c r="B281" s="8"/>
      <c r="C281" s="8"/>
      <c r="D281" s="8"/>
      <c r="E281" s="9">
        <f>SUMIF(খতিয়ান!C:C, A281, খতিয়ান!F:F) - SUMIF(খতিয়ান!C:C, A281, খতিয়ান!G:G)</f>
        <v>0</v>
      </c>
      <c r="F281" s="10" t="str">
        <f t="shared" si="4"/>
        <v/>
      </c>
    </row>
    <row r="282" spans="1:6" x14ac:dyDescent="0.55000000000000004">
      <c r="A282" s="8"/>
      <c r="B282" s="8"/>
      <c r="C282" s="8"/>
      <c r="D282" s="8"/>
      <c r="E282" s="9">
        <f>SUMIF(খতিয়ান!C:C, A282, খতিয়ান!F:F) - SUMIF(খতিয়ান!C:C, A282, খতিয়ান!G:G)</f>
        <v>0</v>
      </c>
      <c r="F282" s="10" t="str">
        <f t="shared" si="4"/>
        <v/>
      </c>
    </row>
    <row r="283" spans="1:6" x14ac:dyDescent="0.55000000000000004">
      <c r="A283" s="8"/>
      <c r="B283" s="8"/>
      <c r="C283" s="8"/>
      <c r="D283" s="8"/>
      <c r="E283" s="9">
        <f>SUMIF(খতিয়ান!C:C, A283, খতিয়ান!F:F) - SUMIF(খতিয়ান!C:C, A283, খতিয়ান!G:G)</f>
        <v>0</v>
      </c>
      <c r="F283" s="10" t="str">
        <f t="shared" si="4"/>
        <v/>
      </c>
    </row>
    <row r="284" spans="1:6" x14ac:dyDescent="0.55000000000000004">
      <c r="A284" s="8"/>
      <c r="B284" s="8"/>
      <c r="C284" s="8"/>
      <c r="D284" s="8"/>
      <c r="E284" s="9">
        <f>SUMIF(খতিয়ান!C:C, A284, খতিয়ান!F:F) - SUMIF(খতিয়ান!C:C, A284, খতিয়ান!G:G)</f>
        <v>0</v>
      </c>
      <c r="F284" s="10" t="str">
        <f t="shared" si="4"/>
        <v/>
      </c>
    </row>
    <row r="285" spans="1:6" x14ac:dyDescent="0.55000000000000004">
      <c r="A285" s="8"/>
      <c r="B285" s="8"/>
      <c r="C285" s="8"/>
      <c r="D285" s="8"/>
      <c r="E285" s="9">
        <f>SUMIF(খতিয়ান!C:C, A285, খতিয়ান!F:F) - SUMIF(খতিয়ান!C:C, A285, খতিয়ান!G:G)</f>
        <v>0</v>
      </c>
      <c r="F285" s="10" t="str">
        <f t="shared" si="4"/>
        <v/>
      </c>
    </row>
    <row r="286" spans="1:6" x14ac:dyDescent="0.55000000000000004">
      <c r="A286" s="8"/>
      <c r="B286" s="8"/>
      <c r="C286" s="8"/>
      <c r="D286" s="8"/>
      <c r="E286" s="9">
        <f>SUMIF(খতিয়ান!C:C, A286, খতিয়ান!F:F) - SUMIF(খতিয়ান!C:C, A286, খতিয়ান!G:G)</f>
        <v>0</v>
      </c>
      <c r="F286" s="10" t="str">
        <f t="shared" si="4"/>
        <v/>
      </c>
    </row>
    <row r="287" spans="1:6" x14ac:dyDescent="0.55000000000000004">
      <c r="A287" s="8"/>
      <c r="B287" s="8"/>
      <c r="C287" s="8"/>
      <c r="D287" s="8"/>
      <c r="E287" s="9">
        <f>SUMIF(খতিয়ান!C:C, A287, খতিয়ান!F:F) - SUMIF(খতিয়ান!C:C, A287, খতিয়ান!G:G)</f>
        <v>0</v>
      </c>
      <c r="F287" s="10" t="str">
        <f t="shared" si="4"/>
        <v/>
      </c>
    </row>
    <row r="288" spans="1:6" x14ac:dyDescent="0.55000000000000004">
      <c r="A288" s="8"/>
      <c r="B288" s="8"/>
      <c r="C288" s="8"/>
      <c r="D288" s="8"/>
      <c r="E288" s="9">
        <f>SUMIF(খতিয়ান!C:C, A288, খতিয়ান!F:F) - SUMIF(খতিয়ান!C:C, A288, খতিয়ান!G:G)</f>
        <v>0</v>
      </c>
      <c r="F288" s="10" t="str">
        <f t="shared" si="4"/>
        <v/>
      </c>
    </row>
    <row r="289" spans="1:6" x14ac:dyDescent="0.55000000000000004">
      <c r="A289" s="8"/>
      <c r="B289" s="8"/>
      <c r="C289" s="8"/>
      <c r="D289" s="8"/>
      <c r="E289" s="9">
        <f>SUMIF(খতিয়ান!C:C, A289, খতিয়ান!F:F) - SUMIF(খতিয়ান!C:C, A289, খতিয়ান!G:G)</f>
        <v>0</v>
      </c>
      <c r="F289" s="10" t="str">
        <f t="shared" si="4"/>
        <v/>
      </c>
    </row>
    <row r="290" spans="1:6" x14ac:dyDescent="0.55000000000000004">
      <c r="A290" s="8"/>
      <c r="B290" s="8"/>
      <c r="C290" s="8"/>
      <c r="D290" s="8"/>
      <c r="E290" s="9">
        <f>SUMIF(খতিয়ান!C:C, A290, খতিয়ান!F:F) - SUMIF(খতিয়ান!C:C, A290, খতিয়ান!G:G)</f>
        <v>0</v>
      </c>
      <c r="F290" s="10" t="str">
        <f t="shared" si="4"/>
        <v/>
      </c>
    </row>
    <row r="291" spans="1:6" x14ac:dyDescent="0.55000000000000004">
      <c r="A291" s="8"/>
      <c r="B291" s="8"/>
      <c r="C291" s="8"/>
      <c r="D291" s="8"/>
      <c r="E291" s="9">
        <f>SUMIF(খতিয়ান!C:C, A291, খতিয়ান!F:F) - SUMIF(খতিয়ান!C:C, A291, খতিয়ান!G:G)</f>
        <v>0</v>
      </c>
      <c r="F291" s="10" t="str">
        <f t="shared" si="4"/>
        <v/>
      </c>
    </row>
    <row r="292" spans="1:6" x14ac:dyDescent="0.55000000000000004">
      <c r="A292" s="8"/>
      <c r="B292" s="8"/>
      <c r="C292" s="8"/>
      <c r="D292" s="8"/>
      <c r="E292" s="9">
        <f>SUMIF(খতিয়ান!C:C, A292, খতিয়ান!F:F) - SUMIF(খতিয়ান!C:C, A292, খতিয়ান!G:G)</f>
        <v>0</v>
      </c>
      <c r="F292" s="10" t="str">
        <f t="shared" si="4"/>
        <v/>
      </c>
    </row>
    <row r="293" spans="1:6" x14ac:dyDescent="0.55000000000000004">
      <c r="A293" s="8"/>
      <c r="B293" s="8"/>
      <c r="C293" s="8"/>
      <c r="D293" s="8"/>
      <c r="E293" s="9">
        <f>SUMIF(খতিয়ান!C:C, A293, খতিয়ান!F:F) - SUMIF(খতিয়ান!C:C, A293, খতিয়ান!G:G)</f>
        <v>0</v>
      </c>
      <c r="F293" s="10" t="str">
        <f t="shared" si="4"/>
        <v/>
      </c>
    </row>
    <row r="294" spans="1:6" x14ac:dyDescent="0.55000000000000004">
      <c r="A294" s="8"/>
      <c r="B294" s="8"/>
      <c r="C294" s="8"/>
      <c r="D294" s="8"/>
      <c r="E294" s="9">
        <f>SUMIF(খতিয়ান!C:C, A294, খতিয়ান!F:F) - SUMIF(খতিয়ান!C:C, A294, খতিয়ান!G:G)</f>
        <v>0</v>
      </c>
      <c r="F294" s="10" t="str">
        <f t="shared" si="4"/>
        <v/>
      </c>
    </row>
    <row r="295" spans="1:6" x14ac:dyDescent="0.55000000000000004">
      <c r="A295" s="8"/>
      <c r="B295" s="8"/>
      <c r="C295" s="8"/>
      <c r="D295" s="8"/>
      <c r="E295" s="9">
        <f>SUMIF(খতিয়ান!C:C, A295, খতিয়ান!F:F) - SUMIF(খতিয়ান!C:C, A295, খতিয়ান!G:G)</f>
        <v>0</v>
      </c>
      <c r="F295" s="10" t="str">
        <f t="shared" si="4"/>
        <v/>
      </c>
    </row>
    <row r="296" spans="1:6" x14ac:dyDescent="0.55000000000000004">
      <c r="A296" s="8"/>
      <c r="B296" s="8"/>
      <c r="C296" s="8"/>
      <c r="D296" s="8"/>
      <c r="E296" s="9">
        <f>SUMIF(খতিয়ান!C:C, A296, খতিয়ান!F:F) - SUMIF(খতিয়ান!C:C, A296, খতিয়ান!G:G)</f>
        <v>0</v>
      </c>
      <c r="F296" s="10" t="str">
        <f t="shared" si="4"/>
        <v/>
      </c>
    </row>
    <row r="297" spans="1:6" x14ac:dyDescent="0.55000000000000004">
      <c r="A297" s="8"/>
      <c r="B297" s="8"/>
      <c r="C297" s="8"/>
      <c r="D297" s="8"/>
      <c r="E297" s="9">
        <f>SUMIF(খতিয়ান!C:C, A297, খতিয়ান!F:F) - SUMIF(খতিয়ান!C:C, A297, খতিয়ান!G:G)</f>
        <v>0</v>
      </c>
      <c r="F297" s="10" t="str">
        <f t="shared" si="4"/>
        <v/>
      </c>
    </row>
    <row r="298" spans="1:6" x14ac:dyDescent="0.55000000000000004">
      <c r="A298" s="8"/>
      <c r="B298" s="8"/>
      <c r="C298" s="8"/>
      <c r="D298" s="8"/>
      <c r="E298" s="9">
        <f>SUMIF(খতিয়ান!C:C, A298, খতিয়ান!F:F) - SUMIF(খতিয়ান!C:C, A298, খতিয়ান!G:G)</f>
        <v>0</v>
      </c>
      <c r="F298" s="10" t="str">
        <f t="shared" si="4"/>
        <v/>
      </c>
    </row>
    <row r="299" spans="1:6" x14ac:dyDescent="0.55000000000000004">
      <c r="A299" s="8"/>
      <c r="B299" s="8"/>
      <c r="C299" s="8"/>
      <c r="D299" s="8"/>
      <c r="E299" s="9">
        <f>SUMIF(খতিয়ান!C:C, A299, খতিয়ান!F:F) - SUMIF(খতিয়ান!C:C, A299, খতিয়ান!G:G)</f>
        <v>0</v>
      </c>
      <c r="F299" s="10" t="str">
        <f t="shared" si="4"/>
        <v/>
      </c>
    </row>
    <row r="300" spans="1:6" x14ac:dyDescent="0.55000000000000004">
      <c r="A300" s="8"/>
      <c r="B300" s="8"/>
      <c r="C300" s="8"/>
      <c r="D300" s="8"/>
      <c r="E300" s="9">
        <f>SUMIF(খতিয়ান!C:C, A300, খতিয়ান!F:F) - SUMIF(খতিয়ান!C:C, A300, খতিয়ান!G:G)</f>
        <v>0</v>
      </c>
      <c r="F300" s="10" t="str">
        <f t="shared" si="4"/>
        <v/>
      </c>
    </row>
    <row r="301" spans="1:6" x14ac:dyDescent="0.55000000000000004">
      <c r="A301" s="8"/>
      <c r="B301" s="8"/>
      <c r="C301" s="8"/>
      <c r="D301" s="8"/>
      <c r="E301" s="9">
        <f>SUMIF(খতিয়ান!C:C, A301, খতিয়ান!F:F) - SUMIF(খতিয়ান!C:C, A301, খতিয়ান!G:G)</f>
        <v>0</v>
      </c>
      <c r="F301" s="10" t="str">
        <f t="shared" si="4"/>
        <v/>
      </c>
    </row>
    <row r="302" spans="1:6" x14ac:dyDescent="0.55000000000000004">
      <c r="A302" s="8"/>
      <c r="B302" s="8"/>
      <c r="C302" s="8"/>
      <c r="D302" s="8"/>
      <c r="E302" s="9">
        <f>SUMIF(খতিয়ান!C:C, A302, খতিয়ান!F:F) - SUMIF(খতিয়ান!C:C, A302, খতিয়ান!G:G)</f>
        <v>0</v>
      </c>
      <c r="F302" s="10" t="str">
        <f t="shared" si="4"/>
        <v/>
      </c>
    </row>
    <row r="303" spans="1:6" x14ac:dyDescent="0.55000000000000004">
      <c r="A303" s="8"/>
      <c r="B303" s="8"/>
      <c r="C303" s="8"/>
      <c r="D303" s="8"/>
      <c r="E303" s="9">
        <f>SUMIF(খতিয়ান!C:C, A303, খতিয়ান!F:F) - SUMIF(খতিয়ান!C:C, A303, খতিয়ান!G:G)</f>
        <v>0</v>
      </c>
      <c r="F303" s="10" t="str">
        <f t="shared" si="4"/>
        <v/>
      </c>
    </row>
    <row r="304" spans="1:6" x14ac:dyDescent="0.55000000000000004">
      <c r="A304" s="8"/>
      <c r="B304" s="8"/>
      <c r="C304" s="8"/>
      <c r="D304" s="8"/>
      <c r="E304" s="9">
        <f>SUMIF(খতিয়ান!C:C, A304, খতিয়ান!F:F) - SUMIF(খতিয়ান!C:C, A304, খতিয়ান!G:G)</f>
        <v>0</v>
      </c>
      <c r="F304" s="10" t="str">
        <f t="shared" si="4"/>
        <v/>
      </c>
    </row>
    <row r="305" spans="1:6" x14ac:dyDescent="0.55000000000000004">
      <c r="A305" s="8"/>
      <c r="B305" s="8"/>
      <c r="C305" s="8"/>
      <c r="D305" s="8"/>
      <c r="E305" s="9">
        <f>SUMIF(খতিয়ান!C:C, A305, খতিয়ান!F:F) - SUMIF(খতিয়ান!C:C, A305, খতিয়ান!G:G)</f>
        <v>0</v>
      </c>
      <c r="F305" s="10" t="str">
        <f t="shared" si="4"/>
        <v/>
      </c>
    </row>
  </sheetData>
  <conditionalFormatting sqref="A4:F305">
    <cfRule type="expression" dxfId="21" priority="1">
      <formula>AND($C$1&lt;&gt;"", OR(ISNUMBER(SEARCH($C$1, $B4)), ISNUMBER(SEARCH($C$1, $C4))))</formula>
    </cfRule>
  </conditionalFormatting>
  <conditionalFormatting sqref="E4:E305">
    <cfRule type="cellIs" dxfId="20" priority="2" operator="greaterThan">
      <formula>0</formula>
    </cfRule>
    <cfRule type="cellIs" dxfId="19" priority="3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5"/>
  <sheetViews>
    <sheetView showGridLines="0" tabSelected="1" workbookViewId="0">
      <pane ySplit="1" topLeftCell="A9" activePane="bottomLeft" state="frozen"/>
      <selection pane="bottomLeft" sqref="A1:XFD1048576"/>
    </sheetView>
  </sheetViews>
  <sheetFormatPr defaultRowHeight="21" x14ac:dyDescent="0.55000000000000004"/>
  <cols>
    <col min="1" max="1" width="15.7109375" style="2" customWidth="1"/>
    <col min="2" max="2" width="35.7109375" style="2" customWidth="1"/>
    <col min="3" max="3" width="20.7109375" style="2" customWidth="1"/>
    <col min="4" max="4" width="30.7109375" style="2" customWidth="1"/>
    <col min="5" max="5" width="15.7109375" style="2" customWidth="1"/>
    <col min="6" max="8" width="25.7109375" style="2" customWidth="1"/>
    <col min="9" max="16384" width="9.140625" style="2"/>
  </cols>
  <sheetData>
    <row r="1" spans="1:8" x14ac:dyDescent="0.55000000000000004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  <row r="2" spans="1:8" ht="18" customHeight="1" x14ac:dyDescent="0.55000000000000004">
      <c r="A2" s="11" t="s">
        <v>27</v>
      </c>
      <c r="B2" s="8" t="s">
        <v>12</v>
      </c>
      <c r="C2" s="12" t="str">
        <f>IF(ISBLANK(B2), "", INDEX('কাস্টমার তালিকা'!$A$4:$A$305, MATCH(B2, 'কাস্টমার তালিকা'!$B$4:$B$305, 0)))</f>
        <v>C-001</v>
      </c>
      <c r="D2" s="8" t="s">
        <v>28</v>
      </c>
      <c r="E2" s="8" t="s">
        <v>29</v>
      </c>
      <c r="F2" s="13">
        <v>118000</v>
      </c>
      <c r="G2" s="14"/>
      <c r="H2" s="9">
        <f>IF(ISBLANK(C2), "", SUMIFS(F$2:F2, C$2:C2, C2) - SUMIFS(G$2:G2, C$2:C2, C2))</f>
        <v>118000</v>
      </c>
    </row>
    <row r="3" spans="1:8" ht="18" customHeight="1" x14ac:dyDescent="0.55000000000000004">
      <c r="A3" s="11" t="s">
        <v>30</v>
      </c>
      <c r="B3" s="8" t="s">
        <v>12</v>
      </c>
      <c r="C3" s="12" t="str">
        <f>IF(ISBLANK(B3), "", INDEX('কাস্টমার তালিকা'!$A$4:$A$305, MATCH(B3, 'কাস্টমার তালিকা'!$B$4:$B$305, 0)))</f>
        <v>C-001</v>
      </c>
      <c r="D3" s="8"/>
      <c r="E3" s="8" t="s">
        <v>31</v>
      </c>
      <c r="F3" s="13">
        <v>85000</v>
      </c>
      <c r="G3" s="14"/>
      <c r="H3" s="9">
        <f>IF(ISBLANK(C3), "", SUMIFS(F$2:F3, C$2:C3, C3) - SUMIFS(G$2:G3, C$2:C3, C3))</f>
        <v>203000</v>
      </c>
    </row>
    <row r="4" spans="1:8" ht="18" customHeight="1" x14ac:dyDescent="0.55000000000000004">
      <c r="A4" s="11"/>
      <c r="C4" s="12" t="str">
        <f>IF(ISBLANK(B4), "", INDEX('কাস্টমার তালিকা'!$A$4:$A$305, MATCH(B4, 'কাস্টমার তালিকা'!$B$4:$B$305, 0)))</f>
        <v/>
      </c>
      <c r="D4" s="8"/>
      <c r="E4" s="8"/>
      <c r="F4" s="13"/>
      <c r="G4" s="14"/>
      <c r="H4" s="9">
        <f>IF(ISBLANK(C4), "", SUMIFS(F$2:F4, C$2:C4, C4) - SUMIFS(G$2:G4, C$2:C4, C4))</f>
        <v>0</v>
      </c>
    </row>
    <row r="5" spans="1:8" ht="18" customHeight="1" x14ac:dyDescent="0.55000000000000004">
      <c r="A5" s="11"/>
      <c r="C5" s="12" t="str">
        <f>IF(ISBLANK(B5), "", INDEX('কাস্টমার তালিকা'!$A$4:$A$305, MATCH(B5, 'কাস্টমার তালিকা'!$B$4:$B$305, 0)))</f>
        <v/>
      </c>
      <c r="D5" s="8"/>
      <c r="E5" s="8"/>
      <c r="F5" s="13"/>
      <c r="G5" s="14"/>
      <c r="H5" s="9">
        <f>IF(ISBLANK(C5), "", SUMIFS(F$2:F5, C$2:C5, C5) - SUMIFS(G$2:G5, C$2:C5, C5))</f>
        <v>0</v>
      </c>
    </row>
    <row r="6" spans="1:8" ht="18" customHeight="1" x14ac:dyDescent="0.55000000000000004">
      <c r="A6" s="11"/>
      <c r="C6" s="12" t="str">
        <f>IF(ISBLANK(B6), "", INDEX('কাস্টমার তালিকা'!$A$4:$A$305, MATCH(B6, 'কাস্টমার তালিকা'!$B$4:$B$305, 0)))</f>
        <v/>
      </c>
      <c r="D6" s="8"/>
      <c r="E6" s="8"/>
      <c r="F6" s="13"/>
      <c r="G6" s="14"/>
      <c r="H6" s="9">
        <f>IF(ISBLANK(C6), "", SUMIFS(F$2:F6, C$2:C6, C6) - SUMIFS(G$2:G6, C$2:C6, C6))</f>
        <v>0</v>
      </c>
    </row>
    <row r="7" spans="1:8" ht="18" customHeight="1" x14ac:dyDescent="0.55000000000000004">
      <c r="A7" s="11"/>
      <c r="C7" s="12" t="str">
        <f>IF(ISBLANK(B7), "", INDEX('কাস্টমার তালিকা'!$A$4:$A$305, MATCH(B7, 'কাস্টমার তালিকা'!$B$4:$B$305, 0)))</f>
        <v/>
      </c>
      <c r="D7" s="8"/>
      <c r="E7" s="8"/>
      <c r="F7" s="13"/>
      <c r="G7" s="14"/>
      <c r="H7" s="9">
        <f>IF(ISBLANK(C7), "", SUMIFS(F$2:F7, C$2:C7, C7) - SUMIFS(G$2:G7, C$2:C7, C7))</f>
        <v>0</v>
      </c>
    </row>
    <row r="8" spans="1:8" ht="18" customHeight="1" x14ac:dyDescent="0.55000000000000004">
      <c r="A8" s="11"/>
      <c r="C8" s="12" t="str">
        <f>IF(ISBLANK(B8), "", INDEX('কাস্টমার তালিকা'!$A$4:$A$305, MATCH(B8, 'কাস্টমার তালিকা'!$B$4:$B$305, 0)))</f>
        <v/>
      </c>
      <c r="D8" s="8"/>
      <c r="E8" s="8"/>
      <c r="F8" s="13"/>
      <c r="G8" s="14"/>
      <c r="H8" s="9">
        <f>IF(ISBLANK(C8), "", SUMIFS(F$2:F8, C$2:C8, C8) - SUMIFS(G$2:G8, C$2:C8, C8))</f>
        <v>0</v>
      </c>
    </row>
    <row r="9" spans="1:8" ht="18" customHeight="1" x14ac:dyDescent="0.55000000000000004">
      <c r="A9" s="11"/>
      <c r="C9" s="12" t="str">
        <f>IF(ISBLANK(B9), "", INDEX('কাস্টমার তালিকা'!$A$4:$A$305, MATCH(B9, 'কাস্টমার তালিকা'!$B$4:$B$305, 0)))</f>
        <v/>
      </c>
      <c r="D9" s="8"/>
      <c r="E9" s="8"/>
      <c r="F9" s="13"/>
      <c r="G9" s="14"/>
      <c r="H9" s="9">
        <f>IF(ISBLANK(C9), "", SUMIFS(F$2:F9, C$2:C9, C9) - SUMIFS(G$2:G9, C$2:C9, C9))</f>
        <v>0</v>
      </c>
    </row>
    <row r="10" spans="1:8" ht="18" customHeight="1" x14ac:dyDescent="0.55000000000000004">
      <c r="A10" s="11"/>
      <c r="C10" s="12" t="str">
        <f>IF(ISBLANK(B10), "", INDEX('কাস্টমার তালিকা'!$A$4:$A$305, MATCH(B10, 'কাস্টমার তালিকা'!$B$4:$B$305, 0)))</f>
        <v/>
      </c>
      <c r="D10" s="8"/>
      <c r="E10" s="8"/>
      <c r="F10" s="13"/>
      <c r="G10" s="14"/>
      <c r="H10" s="9">
        <f>IF(ISBLANK(C10), "", SUMIFS(F$2:F10, C$2:C10, C10) - SUMIFS(G$2:G10, C$2:C10, C10))</f>
        <v>0</v>
      </c>
    </row>
    <row r="11" spans="1:8" ht="18" customHeight="1" x14ac:dyDescent="0.55000000000000004">
      <c r="A11" s="11"/>
      <c r="C11" s="12" t="str">
        <f>IF(ISBLANK(B11), "", INDEX('কাস্টমার তালিকা'!$A$4:$A$305, MATCH(B11, 'কাস্টমার তালিকা'!$B$4:$B$305, 0)))</f>
        <v/>
      </c>
      <c r="D11" s="8"/>
      <c r="E11" s="8"/>
      <c r="F11" s="13"/>
      <c r="G11" s="14"/>
      <c r="H11" s="9">
        <f>IF(ISBLANK(C11), "", SUMIFS(F$2:F11, C$2:C11, C11) - SUMIFS(G$2:G11, C$2:C11, C11))</f>
        <v>0</v>
      </c>
    </row>
    <row r="12" spans="1:8" ht="18" customHeight="1" x14ac:dyDescent="0.55000000000000004">
      <c r="A12" s="11"/>
      <c r="C12" s="12" t="str">
        <f>IF(ISBLANK(B12), "", INDEX('কাস্টমার তালিকা'!$A$4:$A$305, MATCH(B12, 'কাস্টমার তালিকা'!$B$4:$B$305, 0)))</f>
        <v/>
      </c>
      <c r="D12" s="8"/>
      <c r="E12" s="8"/>
      <c r="F12" s="13"/>
      <c r="G12" s="14"/>
      <c r="H12" s="9">
        <f>IF(ISBLANK(C12), "", SUMIFS(F$2:F12, C$2:C12, C12) - SUMIFS(G$2:G12, C$2:C12, C12))</f>
        <v>0</v>
      </c>
    </row>
    <row r="13" spans="1:8" ht="18" customHeight="1" x14ac:dyDescent="0.55000000000000004">
      <c r="A13" s="11"/>
      <c r="C13" s="12" t="str">
        <f>IF(ISBLANK(B13), "", INDEX('কাস্টমার তালিকা'!$A$4:$A$305, MATCH(B13, 'কাস্টমার তালিকা'!$B$4:$B$305, 0)))</f>
        <v/>
      </c>
      <c r="D13" s="8"/>
      <c r="E13" s="8"/>
      <c r="F13" s="13"/>
      <c r="G13" s="14"/>
      <c r="H13" s="9">
        <f>IF(ISBLANK(C13), "", SUMIFS(F$2:F13, C$2:C13, C13) - SUMIFS(G$2:G13, C$2:C13, C13))</f>
        <v>0</v>
      </c>
    </row>
    <row r="14" spans="1:8" ht="18" customHeight="1" x14ac:dyDescent="0.55000000000000004">
      <c r="A14" s="11"/>
      <c r="C14" s="12" t="str">
        <f>IF(ISBLANK(B14), "", INDEX('কাস্টমার তালিকা'!$A$4:$A$305, MATCH(B14, 'কাস্টমার তালিকা'!$B$4:$B$305, 0)))</f>
        <v/>
      </c>
      <c r="D14" s="8"/>
      <c r="E14" s="8"/>
      <c r="F14" s="13"/>
      <c r="G14" s="14"/>
      <c r="H14" s="9">
        <f>IF(ISBLANK(C14), "", SUMIFS(F$2:F14, C$2:C14, C14) - SUMIFS(G$2:G14, C$2:C14, C14))</f>
        <v>0</v>
      </c>
    </row>
    <row r="15" spans="1:8" ht="18" customHeight="1" x14ac:dyDescent="0.55000000000000004">
      <c r="A15" s="11"/>
      <c r="C15" s="12" t="str">
        <f>IF(ISBLANK(B15), "", INDEX('কাস্টমার তালিকা'!$A$4:$A$305, MATCH(B15, 'কাস্টমার তালিকা'!$B$4:$B$305, 0)))</f>
        <v/>
      </c>
      <c r="D15" s="8"/>
      <c r="E15" s="8"/>
      <c r="F15" s="13"/>
      <c r="G15" s="14"/>
      <c r="H15" s="9">
        <f>IF(ISBLANK(C15), "", SUMIFS(F$2:F15, C$2:C15, C15) - SUMIFS(G$2:G15, C$2:C15, C15))</f>
        <v>0</v>
      </c>
    </row>
    <row r="16" spans="1:8" ht="18" customHeight="1" x14ac:dyDescent="0.55000000000000004">
      <c r="A16" s="11"/>
      <c r="C16" s="12" t="str">
        <f>IF(ISBLANK(B16), "", INDEX('কাস্টমার তালিকা'!$A$4:$A$305, MATCH(B16, 'কাস্টমার তালিকা'!$B$4:$B$305, 0)))</f>
        <v/>
      </c>
      <c r="D16" s="8"/>
      <c r="E16" s="8"/>
      <c r="F16" s="13"/>
      <c r="G16" s="14"/>
      <c r="H16" s="9">
        <f>IF(ISBLANK(C16), "", SUMIFS(F$2:F16, C$2:C16, C16) - SUMIFS(G$2:G16, C$2:C16, C16))</f>
        <v>0</v>
      </c>
    </row>
    <row r="17" spans="1:8" ht="18" customHeight="1" x14ac:dyDescent="0.55000000000000004">
      <c r="A17" s="11"/>
      <c r="C17" s="12" t="str">
        <f>IF(ISBLANK(B17), "", INDEX('কাস্টমার তালিকা'!$A$4:$A$305, MATCH(B17, 'কাস্টমার তালিকা'!$B$4:$B$305, 0)))</f>
        <v/>
      </c>
      <c r="D17" s="8"/>
      <c r="E17" s="8"/>
      <c r="F17" s="13"/>
      <c r="G17" s="14"/>
      <c r="H17" s="9">
        <f>IF(ISBLANK(C17), "", SUMIFS(F$2:F17, C$2:C17, C17) - SUMIFS(G$2:G17, C$2:C17, C17))</f>
        <v>0</v>
      </c>
    </row>
    <row r="18" spans="1:8" ht="18" customHeight="1" x14ac:dyDescent="0.55000000000000004">
      <c r="A18" s="11"/>
      <c r="C18" s="12" t="str">
        <f>IF(ISBLANK(B18), "", INDEX('কাস্টমার তালিকা'!$A$4:$A$305, MATCH(B18, 'কাস্টমার তালিকা'!$B$4:$B$305, 0)))</f>
        <v/>
      </c>
      <c r="D18" s="8"/>
      <c r="E18" s="8"/>
      <c r="F18" s="13"/>
      <c r="G18" s="14"/>
      <c r="H18" s="9">
        <f>IF(ISBLANK(C18), "", SUMIFS(F$2:F18, C$2:C18, C18) - SUMIFS(G$2:G18, C$2:C18, C18))</f>
        <v>0</v>
      </c>
    </row>
    <row r="19" spans="1:8" ht="18" customHeight="1" x14ac:dyDescent="0.55000000000000004">
      <c r="A19" s="11"/>
      <c r="C19" s="12" t="str">
        <f>IF(ISBLANK(B19), "", INDEX('কাস্টমার তালিকা'!$A$4:$A$305, MATCH(B19, 'কাস্টমার তালিকা'!$B$4:$B$305, 0)))</f>
        <v/>
      </c>
      <c r="D19" s="8"/>
      <c r="E19" s="8"/>
      <c r="F19" s="13"/>
      <c r="G19" s="14"/>
      <c r="H19" s="9">
        <f>IF(ISBLANK(C19), "", SUMIFS(F$2:F19, C$2:C19, C19) - SUMIFS(G$2:G19, C$2:C19, C19))</f>
        <v>0</v>
      </c>
    </row>
    <row r="20" spans="1:8" ht="18" customHeight="1" x14ac:dyDescent="0.55000000000000004">
      <c r="A20" s="11"/>
      <c r="C20" s="12" t="str">
        <f>IF(ISBLANK(B20), "", INDEX('কাস্টমার তালিকা'!$A$4:$A$305, MATCH(B20, 'কাস্টমার তালিকা'!$B$4:$B$305, 0)))</f>
        <v/>
      </c>
      <c r="D20" s="8"/>
      <c r="E20" s="8"/>
      <c r="F20" s="13"/>
      <c r="G20" s="14"/>
      <c r="H20" s="9">
        <f>IF(ISBLANK(C20), "", SUMIFS(F$2:F20, C$2:C20, C20) - SUMIFS(G$2:G20, C$2:C20, C20))</f>
        <v>0</v>
      </c>
    </row>
    <row r="21" spans="1:8" ht="18" customHeight="1" x14ac:dyDescent="0.55000000000000004">
      <c r="A21" s="11"/>
      <c r="C21" s="12" t="str">
        <f>IF(ISBLANK(B21), "", INDEX('কাস্টমার তালিকা'!$A$4:$A$305, MATCH(B21, 'কাস্টমার তালিকা'!$B$4:$B$305, 0)))</f>
        <v/>
      </c>
      <c r="D21" s="8"/>
      <c r="E21" s="8"/>
      <c r="F21" s="13"/>
      <c r="G21" s="14"/>
      <c r="H21" s="9">
        <f>IF(ISBLANK(C21), "", SUMIFS(F$2:F21, C$2:C21, C21) - SUMIFS(G$2:G21, C$2:C21, C21))</f>
        <v>0</v>
      </c>
    </row>
    <row r="22" spans="1:8" ht="18" customHeight="1" x14ac:dyDescent="0.55000000000000004">
      <c r="A22" s="11"/>
      <c r="C22" s="12" t="str">
        <f>IF(ISBLANK(B22), "", INDEX('কাস্টমার তালিকা'!$A$4:$A$305, MATCH(B22, 'কাস্টমার তালিকা'!$B$4:$B$305, 0)))</f>
        <v/>
      </c>
      <c r="D22" s="8"/>
      <c r="E22" s="8"/>
      <c r="F22" s="13"/>
      <c r="G22" s="14"/>
      <c r="H22" s="9">
        <f>IF(ISBLANK(C22), "", SUMIFS(F$2:F22, C$2:C22, C22) - SUMIFS(G$2:G22, C$2:C22, C22))</f>
        <v>0</v>
      </c>
    </row>
    <row r="23" spans="1:8" ht="18" customHeight="1" x14ac:dyDescent="0.55000000000000004">
      <c r="A23" s="11"/>
      <c r="C23" s="12" t="str">
        <f>IF(ISBLANK(B23), "", INDEX('কাস্টমার তালিকা'!$A$4:$A$305, MATCH(B23, 'কাস্টমার তালিকা'!$B$4:$B$305, 0)))</f>
        <v/>
      </c>
      <c r="D23" s="8"/>
      <c r="E23" s="8"/>
      <c r="F23" s="13"/>
      <c r="G23" s="14"/>
      <c r="H23" s="9">
        <f>IF(ISBLANK(C23), "", SUMIFS(F$2:F23, C$2:C23, C23) - SUMIFS(G$2:G23, C$2:C23, C23))</f>
        <v>0</v>
      </c>
    </row>
    <row r="24" spans="1:8" ht="18" customHeight="1" x14ac:dyDescent="0.55000000000000004">
      <c r="A24" s="11"/>
      <c r="C24" s="12" t="str">
        <f>IF(ISBLANK(B24), "", INDEX('কাস্টমার তালিকা'!$A$4:$A$305, MATCH(B24, 'কাস্টমার তালিকা'!$B$4:$B$305, 0)))</f>
        <v/>
      </c>
      <c r="D24" s="8"/>
      <c r="E24" s="8"/>
      <c r="F24" s="13"/>
      <c r="G24" s="14"/>
      <c r="H24" s="9">
        <f>IF(ISBLANK(C24), "", SUMIFS(F$2:F24, C$2:C24, C24) - SUMIFS(G$2:G24, C$2:C24, C24))</f>
        <v>0</v>
      </c>
    </row>
    <row r="25" spans="1:8" ht="18" customHeight="1" x14ac:dyDescent="0.55000000000000004">
      <c r="A25" s="11"/>
      <c r="C25" s="12" t="str">
        <f>IF(ISBLANK(B25), "", INDEX('কাস্টমার তালিকা'!$A$4:$A$305, MATCH(B25, 'কাস্টমার তালিকা'!$B$4:$B$305, 0)))</f>
        <v/>
      </c>
      <c r="D25" s="8"/>
      <c r="E25" s="8"/>
      <c r="F25" s="13"/>
      <c r="G25" s="14"/>
      <c r="H25" s="9">
        <f>IF(ISBLANK(C25), "", SUMIFS(F$2:F25, C$2:C25, C25) - SUMIFS(G$2:G25, C$2:C25, C25))</f>
        <v>0</v>
      </c>
    </row>
    <row r="26" spans="1:8" ht="18" customHeight="1" x14ac:dyDescent="0.55000000000000004">
      <c r="A26" s="11"/>
      <c r="C26" s="12" t="str">
        <f>IF(ISBLANK(B26), "", INDEX('কাস্টমার তালিকা'!$A$4:$A$305, MATCH(B26, 'কাস্টমার তালিকা'!$B$4:$B$305, 0)))</f>
        <v/>
      </c>
      <c r="D26" s="8"/>
      <c r="E26" s="8"/>
      <c r="F26" s="13"/>
      <c r="G26" s="14"/>
      <c r="H26" s="9">
        <f>IF(ISBLANK(C26), "", SUMIFS(F$2:F26, C$2:C26, C26) - SUMIFS(G$2:G26, C$2:C26, C26))</f>
        <v>0</v>
      </c>
    </row>
    <row r="27" spans="1:8" ht="18" customHeight="1" x14ac:dyDescent="0.55000000000000004">
      <c r="A27" s="11"/>
      <c r="C27" s="12" t="str">
        <f>IF(ISBLANK(B27), "", INDEX('কাস্টমার তালিকা'!$A$4:$A$305, MATCH(B27, 'কাস্টমার তালিকা'!$B$4:$B$305, 0)))</f>
        <v/>
      </c>
      <c r="D27" s="8"/>
      <c r="E27" s="8"/>
      <c r="F27" s="13"/>
      <c r="G27" s="14"/>
      <c r="H27" s="9">
        <f>IF(ISBLANK(C27), "", SUMIFS(F$2:F27, C$2:C27, C27) - SUMIFS(G$2:G27, C$2:C27, C27))</f>
        <v>0</v>
      </c>
    </row>
    <row r="28" spans="1:8" ht="18" customHeight="1" x14ac:dyDescent="0.55000000000000004">
      <c r="A28" s="11"/>
      <c r="C28" s="12" t="str">
        <f>IF(ISBLANK(B28), "", INDEX('কাস্টমার তালিকা'!$A$4:$A$305, MATCH(B28, 'কাস্টমার তালিকা'!$B$4:$B$305, 0)))</f>
        <v/>
      </c>
      <c r="D28" s="8"/>
      <c r="E28" s="8"/>
      <c r="F28" s="13"/>
      <c r="G28" s="14"/>
      <c r="H28" s="9">
        <f>IF(ISBLANK(C28), "", SUMIFS(F$2:F28, C$2:C28, C28) - SUMIFS(G$2:G28, C$2:C28, C28))</f>
        <v>0</v>
      </c>
    </row>
    <row r="29" spans="1:8" ht="18" customHeight="1" x14ac:dyDescent="0.55000000000000004">
      <c r="A29" s="11"/>
      <c r="C29" s="12" t="str">
        <f>IF(ISBLANK(B29), "", INDEX('কাস্টমার তালিকা'!$A$4:$A$305, MATCH(B29, 'কাস্টমার তালিকা'!$B$4:$B$305, 0)))</f>
        <v/>
      </c>
      <c r="D29" s="8"/>
      <c r="E29" s="8"/>
      <c r="F29" s="13"/>
      <c r="G29" s="14"/>
      <c r="H29" s="9">
        <f>IF(ISBLANK(C29), "", SUMIFS(F$2:F29, C$2:C29, C29) - SUMIFS(G$2:G29, C$2:C29, C29))</f>
        <v>0</v>
      </c>
    </row>
    <row r="30" spans="1:8" ht="18" customHeight="1" x14ac:dyDescent="0.55000000000000004">
      <c r="A30" s="11"/>
      <c r="C30" s="12" t="str">
        <f>IF(ISBLANK(B30), "", INDEX('কাস্টমার তালিকা'!$A$4:$A$305, MATCH(B30, 'কাস্টমার তালিকা'!$B$4:$B$305, 0)))</f>
        <v/>
      </c>
      <c r="D30" s="8"/>
      <c r="E30" s="8"/>
      <c r="F30" s="13"/>
      <c r="G30" s="14"/>
      <c r="H30" s="9">
        <f>IF(ISBLANK(C30), "", SUMIFS(F$2:F30, C$2:C30, C30) - SUMIFS(G$2:G30, C$2:C30, C30))</f>
        <v>0</v>
      </c>
    </row>
    <row r="31" spans="1:8" ht="18" customHeight="1" x14ac:dyDescent="0.55000000000000004">
      <c r="A31" s="11"/>
      <c r="C31" s="12" t="str">
        <f>IF(ISBLANK(B31), "", INDEX('কাস্টমার তালিকা'!$A$4:$A$305, MATCH(B31, 'কাস্টমার তালিকা'!$B$4:$B$305, 0)))</f>
        <v/>
      </c>
      <c r="D31" s="8"/>
      <c r="E31" s="8"/>
      <c r="F31" s="13"/>
      <c r="G31" s="14"/>
      <c r="H31" s="9">
        <f>IF(ISBLANK(C31), "", SUMIFS(F$2:F31, C$2:C31, C31) - SUMIFS(G$2:G31, C$2:C31, C31))</f>
        <v>0</v>
      </c>
    </row>
    <row r="32" spans="1:8" ht="18" customHeight="1" x14ac:dyDescent="0.55000000000000004">
      <c r="A32" s="11"/>
      <c r="C32" s="12" t="str">
        <f>IF(ISBLANK(B32), "", INDEX('কাস্টমার তালিকা'!$A$4:$A$305, MATCH(B32, 'কাস্টমার তালিকা'!$B$4:$B$305, 0)))</f>
        <v/>
      </c>
      <c r="D32" s="8"/>
      <c r="E32" s="8"/>
      <c r="F32" s="13"/>
      <c r="G32" s="14"/>
      <c r="H32" s="9">
        <f>IF(ISBLANK(C32), "", SUMIFS(F$2:F32, C$2:C32, C32) - SUMIFS(G$2:G32, C$2:C32, C32))</f>
        <v>0</v>
      </c>
    </row>
    <row r="33" spans="1:8" ht="18" customHeight="1" x14ac:dyDescent="0.55000000000000004">
      <c r="A33" s="11"/>
      <c r="C33" s="12" t="str">
        <f>IF(ISBLANK(B33), "", INDEX('কাস্টমার তালিকা'!$A$4:$A$305, MATCH(B33, 'কাস্টমার তালিকা'!$B$4:$B$305, 0)))</f>
        <v/>
      </c>
      <c r="D33" s="8"/>
      <c r="E33" s="8"/>
      <c r="F33" s="13"/>
      <c r="G33" s="14"/>
      <c r="H33" s="9">
        <f>IF(ISBLANK(C33), "", SUMIFS(F$2:F33, C$2:C33, C33) - SUMIFS(G$2:G33, C$2:C33, C33))</f>
        <v>0</v>
      </c>
    </row>
    <row r="34" spans="1:8" ht="18" customHeight="1" x14ac:dyDescent="0.55000000000000004">
      <c r="A34" s="11"/>
      <c r="C34" s="12" t="str">
        <f>IF(ISBLANK(B34), "", INDEX('কাস্টমার তালিকা'!$A$4:$A$305, MATCH(B34, 'কাস্টমার তালিকা'!$B$4:$B$305, 0)))</f>
        <v/>
      </c>
      <c r="D34" s="8"/>
      <c r="E34" s="8"/>
      <c r="F34" s="13"/>
      <c r="G34" s="14"/>
      <c r="H34" s="9">
        <f>IF(ISBLANK(C34), "", SUMIFS(F$2:F34, C$2:C34, C34) - SUMIFS(G$2:G34, C$2:C34, C34))</f>
        <v>0</v>
      </c>
    </row>
    <row r="35" spans="1:8" ht="18" customHeight="1" x14ac:dyDescent="0.55000000000000004">
      <c r="A35" s="11"/>
      <c r="C35" s="12" t="str">
        <f>IF(ISBLANK(B35), "", INDEX('কাস্টমার তালিকা'!$A$4:$A$305, MATCH(B35, 'কাস্টমার তালিকা'!$B$4:$B$305, 0)))</f>
        <v/>
      </c>
      <c r="D35" s="8"/>
      <c r="E35" s="8"/>
      <c r="F35" s="13"/>
      <c r="G35" s="14"/>
      <c r="H35" s="9">
        <f>IF(ISBLANK(C35), "", SUMIFS(F$2:F35, C$2:C35, C35) - SUMIFS(G$2:G35, C$2:C35, C35))</f>
        <v>0</v>
      </c>
    </row>
    <row r="36" spans="1:8" ht="18" customHeight="1" x14ac:dyDescent="0.55000000000000004">
      <c r="A36" s="11"/>
      <c r="C36" s="12" t="str">
        <f>IF(ISBLANK(B36), "", INDEX('কাস্টমার তালিকা'!$A$4:$A$305, MATCH(B36, 'কাস্টমার তালিকা'!$B$4:$B$305, 0)))</f>
        <v/>
      </c>
      <c r="D36" s="8"/>
      <c r="E36" s="8"/>
      <c r="F36" s="13"/>
      <c r="G36" s="14"/>
      <c r="H36" s="9">
        <f>IF(ISBLANK(C36), "", SUMIFS(F$2:F36, C$2:C36, C36) - SUMIFS(G$2:G36, C$2:C36, C36))</f>
        <v>0</v>
      </c>
    </row>
    <row r="37" spans="1:8" ht="18" customHeight="1" x14ac:dyDescent="0.55000000000000004">
      <c r="A37" s="11"/>
      <c r="C37" s="12" t="str">
        <f>IF(ISBLANK(B37), "", INDEX('কাস্টমার তালিকা'!$A$4:$A$305, MATCH(B37, 'কাস্টমার তালিকা'!$B$4:$B$305, 0)))</f>
        <v/>
      </c>
      <c r="D37" s="8"/>
      <c r="E37" s="8"/>
      <c r="F37" s="13"/>
      <c r="G37" s="14"/>
      <c r="H37" s="9">
        <f>IF(ISBLANK(C37), "", SUMIFS(F$2:F37, C$2:C37, C37) - SUMIFS(G$2:G37, C$2:C37, C37))</f>
        <v>0</v>
      </c>
    </row>
    <row r="38" spans="1:8" ht="18" customHeight="1" x14ac:dyDescent="0.55000000000000004">
      <c r="A38" s="11"/>
      <c r="C38" s="12" t="str">
        <f>IF(ISBLANK(B38), "", INDEX('কাস্টমার তালিকা'!$A$4:$A$305, MATCH(B38, 'কাস্টমার তালিকা'!$B$4:$B$305, 0)))</f>
        <v/>
      </c>
      <c r="D38" s="8"/>
      <c r="E38" s="8"/>
      <c r="F38" s="13"/>
      <c r="G38" s="14"/>
      <c r="H38" s="9">
        <f>IF(ISBLANK(C38), "", SUMIFS(F$2:F38, C$2:C38, C38) - SUMIFS(G$2:G38, C$2:C38, C38))</f>
        <v>0</v>
      </c>
    </row>
    <row r="39" spans="1:8" ht="18" customHeight="1" x14ac:dyDescent="0.55000000000000004">
      <c r="A39" s="11"/>
      <c r="C39" s="12" t="str">
        <f>IF(ISBLANK(B39), "", INDEX('কাস্টমার তালিকা'!$A$4:$A$305, MATCH(B39, 'কাস্টমার তালিকা'!$B$4:$B$305, 0)))</f>
        <v/>
      </c>
      <c r="D39" s="8"/>
      <c r="E39" s="8"/>
      <c r="F39" s="13"/>
      <c r="G39" s="14"/>
      <c r="H39" s="9">
        <f>IF(ISBLANK(C39), "", SUMIFS(F$2:F39, C$2:C39, C39) - SUMIFS(G$2:G39, C$2:C39, C39))</f>
        <v>0</v>
      </c>
    </row>
    <row r="40" spans="1:8" ht="18" customHeight="1" x14ac:dyDescent="0.55000000000000004">
      <c r="A40" s="11"/>
      <c r="C40" s="12" t="str">
        <f>IF(ISBLANK(B40), "", INDEX('কাস্টমার তালিকা'!$A$4:$A$305, MATCH(B40, 'কাস্টমার তালিকা'!$B$4:$B$305, 0)))</f>
        <v/>
      </c>
      <c r="D40" s="8"/>
      <c r="E40" s="8"/>
      <c r="F40" s="13"/>
      <c r="G40" s="14"/>
      <c r="H40" s="9">
        <f>IF(ISBLANK(C40), "", SUMIFS(F$2:F40, C$2:C40, C40) - SUMIFS(G$2:G40, C$2:C40, C40))</f>
        <v>0</v>
      </c>
    </row>
    <row r="41" spans="1:8" ht="18" customHeight="1" x14ac:dyDescent="0.55000000000000004">
      <c r="A41" s="11"/>
      <c r="C41" s="12" t="str">
        <f>IF(ISBLANK(B41), "", INDEX('কাস্টমার তালিকা'!$A$4:$A$305, MATCH(B41, 'কাস্টমার তালিকা'!$B$4:$B$305, 0)))</f>
        <v/>
      </c>
      <c r="D41" s="8"/>
      <c r="E41" s="8"/>
      <c r="F41" s="13"/>
      <c r="G41" s="14"/>
      <c r="H41" s="9">
        <f>IF(ISBLANK(C41), "", SUMIFS(F$2:F41, C$2:C41, C41) - SUMIFS(G$2:G41, C$2:C41, C41))</f>
        <v>0</v>
      </c>
    </row>
    <row r="42" spans="1:8" ht="18" customHeight="1" x14ac:dyDescent="0.55000000000000004">
      <c r="A42" s="11"/>
      <c r="C42" s="12" t="str">
        <f>IF(ISBLANK(B42), "", INDEX('কাস্টমার তালিকা'!$A$4:$A$305, MATCH(B42, 'কাস্টমার তালিকা'!$B$4:$B$305, 0)))</f>
        <v/>
      </c>
      <c r="D42" s="8"/>
      <c r="E42" s="8"/>
      <c r="F42" s="13"/>
      <c r="G42" s="14"/>
      <c r="H42" s="9">
        <f>IF(ISBLANK(C42), "", SUMIFS(F$2:F42, C$2:C42, C42) - SUMIFS(G$2:G42, C$2:C42, C42))</f>
        <v>0</v>
      </c>
    </row>
    <row r="43" spans="1:8" ht="18" customHeight="1" x14ac:dyDescent="0.55000000000000004">
      <c r="A43" s="11"/>
      <c r="C43" s="12" t="str">
        <f>IF(ISBLANK(B43), "", INDEX('কাস্টমার তালিকা'!$A$4:$A$305, MATCH(B43, 'কাস্টমার তালিকা'!$B$4:$B$305, 0)))</f>
        <v/>
      </c>
      <c r="D43" s="8"/>
      <c r="E43" s="8"/>
      <c r="F43" s="13"/>
      <c r="G43" s="14"/>
      <c r="H43" s="9">
        <f>IF(ISBLANK(C43), "", SUMIFS(F$2:F43, C$2:C43, C43) - SUMIFS(G$2:G43, C$2:C43, C43))</f>
        <v>0</v>
      </c>
    </row>
    <row r="44" spans="1:8" ht="18" customHeight="1" x14ac:dyDescent="0.55000000000000004">
      <c r="A44" s="11"/>
      <c r="C44" s="12" t="str">
        <f>IF(ISBLANK(B44), "", INDEX('কাস্টমার তালিকা'!$A$4:$A$305, MATCH(B44, 'কাস্টমার তালিকা'!$B$4:$B$305, 0)))</f>
        <v/>
      </c>
      <c r="D44" s="8"/>
      <c r="E44" s="8"/>
      <c r="F44" s="13"/>
      <c r="G44" s="14"/>
      <c r="H44" s="9">
        <f>IF(ISBLANK(C44), "", SUMIFS(F$2:F44, C$2:C44, C44) - SUMIFS(G$2:G44, C$2:C44, C44))</f>
        <v>0</v>
      </c>
    </row>
    <row r="45" spans="1:8" ht="18" customHeight="1" x14ac:dyDescent="0.55000000000000004">
      <c r="A45" s="11"/>
      <c r="C45" s="12" t="str">
        <f>IF(ISBLANK(B45), "", INDEX('কাস্টমার তালিকা'!$A$4:$A$305, MATCH(B45, 'কাস্টমার তালিকা'!$B$4:$B$305, 0)))</f>
        <v/>
      </c>
      <c r="D45" s="8"/>
      <c r="E45" s="8"/>
      <c r="F45" s="13"/>
      <c r="G45" s="14"/>
      <c r="H45" s="9">
        <f>IF(ISBLANK(C45), "", SUMIFS(F$2:F45, C$2:C45, C45) - SUMIFS(G$2:G45, C$2:C45, C45))</f>
        <v>0</v>
      </c>
    </row>
    <row r="46" spans="1:8" ht="18" customHeight="1" x14ac:dyDescent="0.55000000000000004">
      <c r="A46" s="11"/>
      <c r="C46" s="12" t="str">
        <f>IF(ISBLANK(B46), "", INDEX('কাস্টমার তালিকা'!$A$4:$A$305, MATCH(B46, 'কাস্টমার তালিকা'!$B$4:$B$305, 0)))</f>
        <v/>
      </c>
      <c r="D46" s="8"/>
      <c r="E46" s="8"/>
      <c r="F46" s="13"/>
      <c r="G46" s="14"/>
      <c r="H46" s="9">
        <f>IF(ISBLANK(C46), "", SUMIFS(F$2:F46, C$2:C46, C46) - SUMIFS(G$2:G46, C$2:C46, C46))</f>
        <v>0</v>
      </c>
    </row>
    <row r="47" spans="1:8" ht="18" customHeight="1" x14ac:dyDescent="0.55000000000000004">
      <c r="A47" s="11"/>
      <c r="C47" s="12" t="str">
        <f>IF(ISBLANK(B47), "", INDEX('কাস্টমার তালিকা'!$A$4:$A$305, MATCH(B47, 'কাস্টমার তালিকা'!$B$4:$B$305, 0)))</f>
        <v/>
      </c>
      <c r="D47" s="8"/>
      <c r="E47" s="8"/>
      <c r="F47" s="13"/>
      <c r="G47" s="14"/>
      <c r="H47" s="9">
        <f>IF(ISBLANK(C47), "", SUMIFS(F$2:F47, C$2:C47, C47) - SUMIFS(G$2:G47, C$2:C47, C47))</f>
        <v>0</v>
      </c>
    </row>
    <row r="48" spans="1:8" ht="18" customHeight="1" x14ac:dyDescent="0.55000000000000004">
      <c r="A48" s="11"/>
      <c r="C48" s="12" t="str">
        <f>IF(ISBLANK(B48), "", INDEX('কাস্টমার তালিকা'!$A$4:$A$305, MATCH(B48, 'কাস্টমার তালিকা'!$B$4:$B$305, 0)))</f>
        <v/>
      </c>
      <c r="D48" s="8"/>
      <c r="E48" s="8"/>
      <c r="F48" s="13"/>
      <c r="G48" s="14"/>
      <c r="H48" s="9">
        <f>IF(ISBLANK(C48), "", SUMIFS(F$2:F48, C$2:C48, C48) - SUMIFS(G$2:G48, C$2:C48, C48))</f>
        <v>0</v>
      </c>
    </row>
    <row r="49" spans="1:8" ht="18" customHeight="1" x14ac:dyDescent="0.55000000000000004">
      <c r="A49" s="11"/>
      <c r="C49" s="12" t="str">
        <f>IF(ISBLANK(B49), "", INDEX('কাস্টমার তালিকা'!$A$4:$A$305, MATCH(B49, 'কাস্টমার তালিকা'!$B$4:$B$305, 0)))</f>
        <v/>
      </c>
      <c r="D49" s="8"/>
      <c r="E49" s="8"/>
      <c r="F49" s="13"/>
      <c r="G49" s="14"/>
      <c r="H49" s="9">
        <f>IF(ISBLANK(C49), "", SUMIFS(F$2:F49, C$2:C49, C49) - SUMIFS(G$2:G49, C$2:C49, C49))</f>
        <v>0</v>
      </c>
    </row>
    <row r="50" spans="1:8" ht="18" customHeight="1" x14ac:dyDescent="0.55000000000000004">
      <c r="A50" s="11"/>
      <c r="C50" s="12" t="str">
        <f>IF(ISBLANK(B50), "", INDEX('কাস্টমার তালিকা'!$A$4:$A$305, MATCH(B50, 'কাস্টমার তালিকা'!$B$4:$B$305, 0)))</f>
        <v/>
      </c>
      <c r="D50" s="8"/>
      <c r="E50" s="8"/>
      <c r="F50" s="13"/>
      <c r="G50" s="14"/>
      <c r="H50" s="9">
        <f>IF(ISBLANK(C50), "", SUMIFS(F$2:F50, C$2:C50, C50) - SUMIFS(G$2:G50, C$2:C50, C50))</f>
        <v>0</v>
      </c>
    </row>
    <row r="51" spans="1:8" ht="18" customHeight="1" x14ac:dyDescent="0.55000000000000004">
      <c r="A51" s="11"/>
      <c r="C51" s="12" t="str">
        <f>IF(ISBLANK(B51), "", INDEX('কাস্টমার তালিকা'!$A$4:$A$305, MATCH(B51, 'কাস্টমার তালিকা'!$B$4:$B$305, 0)))</f>
        <v/>
      </c>
      <c r="D51" s="8"/>
      <c r="E51" s="8"/>
      <c r="F51" s="13"/>
      <c r="G51" s="14"/>
      <c r="H51" s="9">
        <f>IF(ISBLANK(C51), "", SUMIFS(F$2:F51, C$2:C51, C51) - SUMIFS(G$2:G51, C$2:C51, C51))</f>
        <v>0</v>
      </c>
    </row>
    <row r="52" spans="1:8" ht="18" customHeight="1" x14ac:dyDescent="0.55000000000000004">
      <c r="A52" s="11"/>
      <c r="C52" s="12" t="str">
        <f>IF(ISBLANK(B52), "", INDEX('কাস্টমার তালিকা'!$A$4:$A$305, MATCH(B52, 'কাস্টমার তালিকা'!$B$4:$B$305, 0)))</f>
        <v/>
      </c>
      <c r="D52" s="8"/>
      <c r="E52" s="8"/>
      <c r="F52" s="13"/>
      <c r="G52" s="14"/>
      <c r="H52" s="9">
        <f>IF(ISBLANK(C52), "", SUMIFS(F$2:F52, C$2:C52, C52) - SUMIFS(G$2:G52, C$2:C52, C52))</f>
        <v>0</v>
      </c>
    </row>
    <row r="53" spans="1:8" ht="18" customHeight="1" x14ac:dyDescent="0.55000000000000004">
      <c r="A53" s="11"/>
      <c r="C53" s="12" t="str">
        <f>IF(ISBLANK(B53), "", INDEX('কাস্টমার তালিকা'!$A$4:$A$305, MATCH(B53, 'কাস্টমার তালিকা'!$B$4:$B$305, 0)))</f>
        <v/>
      </c>
      <c r="D53" s="8"/>
      <c r="E53" s="8"/>
      <c r="F53" s="13"/>
      <c r="G53" s="14"/>
      <c r="H53" s="9">
        <f>IF(ISBLANK(C53), "", SUMIFS(F$2:F53, C$2:C53, C53) - SUMIFS(G$2:G53, C$2:C53, C53))</f>
        <v>0</v>
      </c>
    </row>
    <row r="54" spans="1:8" ht="18" customHeight="1" x14ac:dyDescent="0.55000000000000004">
      <c r="A54" s="11"/>
      <c r="C54" s="12" t="str">
        <f>IF(ISBLANK(B54), "", INDEX('কাস্টমার তালিকা'!$A$4:$A$305, MATCH(B54, 'কাস্টমার তালিকা'!$B$4:$B$305, 0)))</f>
        <v/>
      </c>
      <c r="D54" s="8"/>
      <c r="E54" s="8"/>
      <c r="F54" s="13"/>
      <c r="G54" s="14"/>
      <c r="H54" s="9">
        <f>IF(ISBLANK(C54), "", SUMIFS(F$2:F54, C$2:C54, C54) - SUMIFS(G$2:G54, C$2:C54, C54))</f>
        <v>0</v>
      </c>
    </row>
    <row r="55" spans="1:8" ht="18" customHeight="1" x14ac:dyDescent="0.55000000000000004">
      <c r="A55" s="11"/>
      <c r="C55" s="12" t="str">
        <f>IF(ISBLANK(B55), "", INDEX('কাস্টমার তালিকা'!$A$4:$A$305, MATCH(B55, 'কাস্টমার তালিকা'!$B$4:$B$305, 0)))</f>
        <v/>
      </c>
      <c r="D55" s="8"/>
      <c r="E55" s="8"/>
      <c r="F55" s="13"/>
      <c r="G55" s="14"/>
      <c r="H55" s="9">
        <f>IF(ISBLANK(C55), "", SUMIFS(F$2:F55, C$2:C55, C55) - SUMIFS(G$2:G55, C$2:C55, C55))</f>
        <v>0</v>
      </c>
    </row>
    <row r="56" spans="1:8" ht="18" customHeight="1" x14ac:dyDescent="0.55000000000000004">
      <c r="A56" s="11"/>
      <c r="C56" s="12" t="str">
        <f>IF(ISBLANK(B56), "", INDEX('কাস্টমার তালিকা'!$A$4:$A$305, MATCH(B56, 'কাস্টমার তালিকা'!$B$4:$B$305, 0)))</f>
        <v/>
      </c>
      <c r="D56" s="8"/>
      <c r="E56" s="8"/>
      <c r="F56" s="13"/>
      <c r="G56" s="14"/>
      <c r="H56" s="9">
        <f>IF(ISBLANK(C56), "", SUMIFS(F$2:F56, C$2:C56, C56) - SUMIFS(G$2:G56, C$2:C56, C56))</f>
        <v>0</v>
      </c>
    </row>
    <row r="57" spans="1:8" ht="18" customHeight="1" x14ac:dyDescent="0.55000000000000004">
      <c r="A57" s="11"/>
      <c r="C57" s="12" t="str">
        <f>IF(ISBLANK(B57), "", INDEX('কাস্টমার তালিকা'!$A$4:$A$305, MATCH(B57, 'কাস্টমার তালিকা'!$B$4:$B$305, 0)))</f>
        <v/>
      </c>
      <c r="D57" s="8"/>
      <c r="E57" s="8"/>
      <c r="F57" s="13"/>
      <c r="G57" s="14"/>
      <c r="H57" s="9">
        <f>IF(ISBLANK(C57), "", SUMIFS(F$2:F57, C$2:C57, C57) - SUMIFS(G$2:G57, C$2:C57, C57))</f>
        <v>0</v>
      </c>
    </row>
    <row r="58" spans="1:8" ht="18" customHeight="1" x14ac:dyDescent="0.55000000000000004">
      <c r="A58" s="11"/>
      <c r="C58" s="12" t="str">
        <f>IF(ISBLANK(B58), "", INDEX('কাস্টমার তালিকা'!$A$4:$A$305, MATCH(B58, 'কাস্টমার তালিকা'!$B$4:$B$305, 0)))</f>
        <v/>
      </c>
      <c r="D58" s="8"/>
      <c r="E58" s="8"/>
      <c r="F58" s="13"/>
      <c r="G58" s="14"/>
      <c r="H58" s="9">
        <f>IF(ISBLANK(C58), "", SUMIFS(F$2:F58, C$2:C58, C58) - SUMIFS(G$2:G58, C$2:C58, C58))</f>
        <v>0</v>
      </c>
    </row>
    <row r="59" spans="1:8" ht="18" customHeight="1" x14ac:dyDescent="0.55000000000000004">
      <c r="A59" s="11"/>
      <c r="C59" s="12" t="str">
        <f>IF(ISBLANK(B59), "", INDEX('কাস্টমার তালিকা'!$A$4:$A$305, MATCH(B59, 'কাস্টমার তালিকা'!$B$4:$B$305, 0)))</f>
        <v/>
      </c>
      <c r="D59" s="8"/>
      <c r="E59" s="8"/>
      <c r="F59" s="13"/>
      <c r="G59" s="14"/>
      <c r="H59" s="9">
        <f>IF(ISBLANK(C59), "", SUMIFS(F$2:F59, C$2:C59, C59) - SUMIFS(G$2:G59, C$2:C59, C59))</f>
        <v>0</v>
      </c>
    </row>
    <row r="60" spans="1:8" ht="18" customHeight="1" x14ac:dyDescent="0.55000000000000004">
      <c r="A60" s="11"/>
      <c r="C60" s="12" t="str">
        <f>IF(ISBLANK(B60), "", INDEX('কাস্টমার তালিকা'!$A$4:$A$305, MATCH(B60, 'কাস্টমার তালিকা'!$B$4:$B$305, 0)))</f>
        <v/>
      </c>
      <c r="D60" s="8"/>
      <c r="E60" s="8"/>
      <c r="F60" s="13"/>
      <c r="G60" s="14"/>
      <c r="H60" s="9">
        <f>IF(ISBLANK(C60), "", SUMIFS(F$2:F60, C$2:C60, C60) - SUMIFS(G$2:G60, C$2:C60, C60))</f>
        <v>0</v>
      </c>
    </row>
    <row r="61" spans="1:8" ht="18" customHeight="1" x14ac:dyDescent="0.55000000000000004">
      <c r="A61" s="11"/>
      <c r="C61" s="12" t="str">
        <f>IF(ISBLANK(B61), "", INDEX('কাস্টমার তালিকা'!$A$4:$A$305, MATCH(B61, 'কাস্টমার তালিকা'!$B$4:$B$305, 0)))</f>
        <v/>
      </c>
      <c r="D61" s="8"/>
      <c r="E61" s="8"/>
      <c r="F61" s="13"/>
      <c r="G61" s="14"/>
      <c r="H61" s="9">
        <f>IF(ISBLANK(C61), "", SUMIFS(F$2:F61, C$2:C61, C61) - SUMIFS(G$2:G61, C$2:C61, C61))</f>
        <v>0</v>
      </c>
    </row>
    <row r="62" spans="1:8" ht="18" customHeight="1" x14ac:dyDescent="0.55000000000000004">
      <c r="A62" s="11"/>
      <c r="C62" s="12" t="str">
        <f>IF(ISBLANK(B62), "", INDEX('কাস্টমার তালিকা'!$A$4:$A$305, MATCH(B62, 'কাস্টমার তালিকা'!$B$4:$B$305, 0)))</f>
        <v/>
      </c>
      <c r="D62" s="8"/>
      <c r="E62" s="8"/>
      <c r="F62" s="13"/>
      <c r="G62" s="14"/>
      <c r="H62" s="9">
        <f>IF(ISBLANK(C62), "", SUMIFS(F$2:F62, C$2:C62, C62) - SUMIFS(G$2:G62, C$2:C62, C62))</f>
        <v>0</v>
      </c>
    </row>
    <row r="63" spans="1:8" ht="18" customHeight="1" x14ac:dyDescent="0.55000000000000004">
      <c r="A63" s="11"/>
      <c r="C63" s="12" t="str">
        <f>IF(ISBLANK(B63), "", INDEX('কাস্টমার তালিকা'!$A$4:$A$305, MATCH(B63, 'কাস্টমার তালিকা'!$B$4:$B$305, 0)))</f>
        <v/>
      </c>
      <c r="D63" s="8"/>
      <c r="E63" s="8"/>
      <c r="F63" s="13"/>
      <c r="G63" s="14"/>
      <c r="H63" s="9">
        <f>IF(ISBLANK(C63), "", SUMIFS(F$2:F63, C$2:C63, C63) - SUMIFS(G$2:G63, C$2:C63, C63))</f>
        <v>0</v>
      </c>
    </row>
    <row r="64" spans="1:8" ht="18" customHeight="1" x14ac:dyDescent="0.55000000000000004">
      <c r="A64" s="11"/>
      <c r="C64" s="12" t="str">
        <f>IF(ISBLANK(B64), "", INDEX('কাস্টমার তালিকা'!$A$4:$A$305, MATCH(B64, 'কাস্টমার তালিকা'!$B$4:$B$305, 0)))</f>
        <v/>
      </c>
      <c r="D64" s="8"/>
      <c r="E64" s="8"/>
      <c r="F64" s="13"/>
      <c r="G64" s="14"/>
      <c r="H64" s="9">
        <f>IF(ISBLANK(C64), "", SUMIFS(F$2:F64, C$2:C64, C64) - SUMIFS(G$2:G64, C$2:C64, C64))</f>
        <v>0</v>
      </c>
    </row>
    <row r="65" spans="1:8" ht="18" customHeight="1" x14ac:dyDescent="0.55000000000000004">
      <c r="A65" s="11"/>
      <c r="C65" s="12" t="str">
        <f>IF(ISBLANK(B65), "", INDEX('কাস্টমার তালিকা'!$A$4:$A$305, MATCH(B65, 'কাস্টমার তালিকা'!$B$4:$B$305, 0)))</f>
        <v/>
      </c>
      <c r="D65" s="8"/>
      <c r="E65" s="8"/>
      <c r="F65" s="13"/>
      <c r="G65" s="14"/>
      <c r="H65" s="9">
        <f>IF(ISBLANK(C65), "", SUMIFS(F$2:F65, C$2:C65, C65) - SUMIFS(G$2:G65, C$2:C65, C65))</f>
        <v>0</v>
      </c>
    </row>
    <row r="66" spans="1:8" ht="18" customHeight="1" x14ac:dyDescent="0.55000000000000004">
      <c r="A66" s="11"/>
      <c r="C66" s="12" t="str">
        <f>IF(ISBLANK(B66), "", INDEX('কাস্টমার তালিকা'!$A$4:$A$305, MATCH(B66, 'কাস্টমার তালিকা'!$B$4:$B$305, 0)))</f>
        <v/>
      </c>
      <c r="D66" s="8"/>
      <c r="E66" s="8"/>
      <c r="F66" s="13"/>
      <c r="G66" s="14"/>
      <c r="H66" s="9">
        <f>IF(ISBLANK(C66), "", SUMIFS(F$2:F66, C$2:C66, C66) - SUMIFS(G$2:G66, C$2:C66, C66))</f>
        <v>0</v>
      </c>
    </row>
    <row r="67" spans="1:8" ht="18" customHeight="1" x14ac:dyDescent="0.55000000000000004">
      <c r="A67" s="11"/>
      <c r="C67" s="12" t="str">
        <f>IF(ISBLANK(B67), "", INDEX('কাস্টমার তালিকা'!$A$4:$A$305, MATCH(B67, 'কাস্টমার তালিকা'!$B$4:$B$305, 0)))</f>
        <v/>
      </c>
      <c r="D67" s="8"/>
      <c r="E67" s="8"/>
      <c r="F67" s="13"/>
      <c r="G67" s="14"/>
      <c r="H67" s="9">
        <f>IF(ISBLANK(C67), "", SUMIFS(F$2:F67, C$2:C67, C67) - SUMIFS(G$2:G67, C$2:C67, C67))</f>
        <v>0</v>
      </c>
    </row>
    <row r="68" spans="1:8" ht="18" customHeight="1" x14ac:dyDescent="0.55000000000000004">
      <c r="A68" s="11"/>
      <c r="C68" s="12" t="str">
        <f>IF(ISBLANK(B68), "", INDEX('কাস্টমার তালিকা'!$A$4:$A$305, MATCH(B68, 'কাস্টমার তালিকা'!$B$4:$B$305, 0)))</f>
        <v/>
      </c>
      <c r="D68" s="8"/>
      <c r="E68" s="8"/>
      <c r="F68" s="13"/>
      <c r="G68" s="14"/>
      <c r="H68" s="9">
        <f>IF(ISBLANK(C68), "", SUMIFS(F$2:F68, C$2:C68, C68) - SUMIFS(G$2:G68, C$2:C68, C68))</f>
        <v>0</v>
      </c>
    </row>
    <row r="69" spans="1:8" ht="18" customHeight="1" x14ac:dyDescent="0.55000000000000004">
      <c r="A69" s="11"/>
      <c r="C69" s="12" t="str">
        <f>IF(ISBLANK(B69), "", INDEX('কাস্টমার তালিকা'!$A$4:$A$305, MATCH(B69, 'কাস্টমার তালিকা'!$B$4:$B$305, 0)))</f>
        <v/>
      </c>
      <c r="D69" s="8"/>
      <c r="E69" s="8"/>
      <c r="F69" s="13"/>
      <c r="G69" s="14"/>
      <c r="H69" s="9">
        <f>IF(ISBLANK(C69), "", SUMIFS(F$2:F69, C$2:C69, C69) - SUMIFS(G$2:G69, C$2:C69, C69))</f>
        <v>0</v>
      </c>
    </row>
    <row r="70" spans="1:8" ht="18" customHeight="1" x14ac:dyDescent="0.55000000000000004">
      <c r="A70" s="11"/>
      <c r="C70" s="12" t="str">
        <f>IF(ISBLANK(B70), "", INDEX('কাস্টমার তালিকা'!$A$4:$A$305, MATCH(B70, 'কাস্টমার তালিকা'!$B$4:$B$305, 0)))</f>
        <v/>
      </c>
      <c r="D70" s="8"/>
      <c r="E70" s="8"/>
      <c r="F70" s="13"/>
      <c r="G70" s="14"/>
      <c r="H70" s="9">
        <f>IF(ISBLANK(C70), "", SUMIFS(F$2:F70, C$2:C70, C70) - SUMIFS(G$2:G70, C$2:C70, C70))</f>
        <v>0</v>
      </c>
    </row>
    <row r="71" spans="1:8" ht="18" customHeight="1" x14ac:dyDescent="0.55000000000000004">
      <c r="A71" s="11"/>
      <c r="C71" s="12" t="str">
        <f>IF(ISBLANK(B71), "", INDEX('কাস্টমার তালিকা'!$A$4:$A$305, MATCH(B71, 'কাস্টমার তালিকা'!$B$4:$B$305, 0)))</f>
        <v/>
      </c>
      <c r="D71" s="8"/>
      <c r="E71" s="8"/>
      <c r="F71" s="13"/>
      <c r="G71" s="14"/>
      <c r="H71" s="9">
        <f>IF(ISBLANK(C71), "", SUMIFS(F$2:F71, C$2:C71, C71) - SUMIFS(G$2:G71, C$2:C71, C71))</f>
        <v>0</v>
      </c>
    </row>
    <row r="72" spans="1:8" ht="18" customHeight="1" x14ac:dyDescent="0.55000000000000004">
      <c r="A72" s="11"/>
      <c r="C72" s="12" t="str">
        <f>IF(ISBLANK(B72), "", INDEX('কাস্টমার তালিকা'!$A$4:$A$305, MATCH(B72, 'কাস্টমার তালিকা'!$B$4:$B$305, 0)))</f>
        <v/>
      </c>
      <c r="D72" s="8"/>
      <c r="E72" s="8"/>
      <c r="F72" s="13"/>
      <c r="G72" s="14"/>
      <c r="H72" s="9">
        <f>IF(ISBLANK(C72), "", SUMIFS(F$2:F72, C$2:C72, C72) - SUMIFS(G$2:G72, C$2:C72, C72))</f>
        <v>0</v>
      </c>
    </row>
    <row r="73" spans="1:8" ht="18" customHeight="1" x14ac:dyDescent="0.55000000000000004">
      <c r="A73" s="11"/>
      <c r="C73" s="12" t="str">
        <f>IF(ISBLANK(B73), "", INDEX('কাস্টমার তালিকা'!$A$4:$A$305, MATCH(B73, 'কাস্টমার তালিকা'!$B$4:$B$305, 0)))</f>
        <v/>
      </c>
      <c r="D73" s="8"/>
      <c r="E73" s="8"/>
      <c r="F73" s="13"/>
      <c r="G73" s="14"/>
      <c r="H73" s="9">
        <f>IF(ISBLANK(C73), "", SUMIFS(F$2:F73, C$2:C73, C73) - SUMIFS(G$2:G73, C$2:C73, C73))</f>
        <v>0</v>
      </c>
    </row>
    <row r="74" spans="1:8" ht="18" customHeight="1" x14ac:dyDescent="0.55000000000000004">
      <c r="A74" s="11"/>
      <c r="C74" s="12" t="str">
        <f>IF(ISBLANK(B74), "", INDEX('কাস্টমার তালিকা'!$A$4:$A$305, MATCH(B74, 'কাস্টমার তালিকা'!$B$4:$B$305, 0)))</f>
        <v/>
      </c>
      <c r="D74" s="8"/>
      <c r="E74" s="8"/>
      <c r="F74" s="13"/>
      <c r="G74" s="14"/>
      <c r="H74" s="9">
        <f>IF(ISBLANK(C74), "", SUMIFS(F$2:F74, C$2:C74, C74) - SUMIFS(G$2:G74, C$2:C74, C74))</f>
        <v>0</v>
      </c>
    </row>
    <row r="75" spans="1:8" ht="18" customHeight="1" x14ac:dyDescent="0.55000000000000004">
      <c r="A75" s="11"/>
      <c r="C75" s="12" t="str">
        <f>IF(ISBLANK(B75), "", INDEX('কাস্টমার তালিকা'!$A$4:$A$305, MATCH(B75, 'কাস্টমার তালিকা'!$B$4:$B$305, 0)))</f>
        <v/>
      </c>
      <c r="D75" s="8"/>
      <c r="E75" s="8"/>
      <c r="F75" s="13"/>
      <c r="G75" s="14"/>
      <c r="H75" s="9">
        <f>IF(ISBLANK(C75), "", SUMIFS(F$2:F75, C$2:C75, C75) - SUMIFS(G$2:G75, C$2:C75, C75))</f>
        <v>0</v>
      </c>
    </row>
    <row r="76" spans="1:8" ht="18" customHeight="1" x14ac:dyDescent="0.55000000000000004">
      <c r="A76" s="11"/>
      <c r="C76" s="12" t="str">
        <f>IF(ISBLANK(B76), "", INDEX('কাস্টমার তালিকা'!$A$4:$A$305, MATCH(B76, 'কাস্টমার তালিকা'!$B$4:$B$305, 0)))</f>
        <v/>
      </c>
      <c r="D76" s="8"/>
      <c r="E76" s="8"/>
      <c r="F76" s="13"/>
      <c r="G76" s="14"/>
      <c r="H76" s="9">
        <f>IF(ISBLANK(C76), "", SUMIFS(F$2:F76, C$2:C76, C76) - SUMIFS(G$2:G76, C$2:C76, C76))</f>
        <v>0</v>
      </c>
    </row>
    <row r="77" spans="1:8" ht="18" customHeight="1" x14ac:dyDescent="0.55000000000000004">
      <c r="A77" s="11"/>
      <c r="C77" s="12" t="str">
        <f>IF(ISBLANK(B77), "", INDEX('কাস্টমার তালিকা'!$A$4:$A$305, MATCH(B77, 'কাস্টমার তালিকা'!$B$4:$B$305, 0)))</f>
        <v/>
      </c>
      <c r="D77" s="8"/>
      <c r="E77" s="8"/>
      <c r="F77" s="13"/>
      <c r="G77" s="14"/>
      <c r="H77" s="9">
        <f>IF(ISBLANK(C77), "", SUMIFS(F$2:F77, C$2:C77, C77) - SUMIFS(G$2:G77, C$2:C77, C77))</f>
        <v>0</v>
      </c>
    </row>
    <row r="78" spans="1:8" ht="18" customHeight="1" x14ac:dyDescent="0.55000000000000004">
      <c r="A78" s="11"/>
      <c r="C78" s="12" t="str">
        <f>IF(ISBLANK(B78), "", INDEX('কাস্টমার তালিকা'!$A$4:$A$305, MATCH(B78, 'কাস্টমার তালিকা'!$B$4:$B$305, 0)))</f>
        <v/>
      </c>
      <c r="D78" s="8"/>
      <c r="E78" s="8"/>
      <c r="F78" s="13"/>
      <c r="G78" s="14"/>
      <c r="H78" s="9">
        <f>IF(ISBLANK(C78), "", SUMIFS(F$2:F78, C$2:C78, C78) - SUMIFS(G$2:G78, C$2:C78, C78))</f>
        <v>0</v>
      </c>
    </row>
    <row r="79" spans="1:8" ht="18" customHeight="1" x14ac:dyDescent="0.55000000000000004">
      <c r="A79" s="11"/>
      <c r="C79" s="12" t="str">
        <f>IF(ISBLANK(B79), "", INDEX('কাস্টমার তালিকা'!$A$4:$A$305, MATCH(B79, 'কাস্টমার তালিকা'!$B$4:$B$305, 0)))</f>
        <v/>
      </c>
      <c r="D79" s="8"/>
      <c r="E79" s="8"/>
      <c r="F79" s="13"/>
      <c r="G79" s="14"/>
      <c r="H79" s="9">
        <f>IF(ISBLANK(C79), "", SUMIFS(F$2:F79, C$2:C79, C79) - SUMIFS(G$2:G79, C$2:C79, C79))</f>
        <v>0</v>
      </c>
    </row>
    <row r="80" spans="1:8" ht="18" customHeight="1" x14ac:dyDescent="0.55000000000000004">
      <c r="A80" s="11"/>
      <c r="C80" s="12" t="str">
        <f>IF(ISBLANK(B80), "", INDEX('কাস্টমার তালিকা'!$A$4:$A$305, MATCH(B80, 'কাস্টমার তালিকা'!$B$4:$B$305, 0)))</f>
        <v/>
      </c>
      <c r="D80" s="8"/>
      <c r="E80" s="8"/>
      <c r="F80" s="13"/>
      <c r="G80" s="14"/>
      <c r="H80" s="9">
        <f>IF(ISBLANK(C80), "", SUMIFS(F$2:F80, C$2:C80, C80) - SUMIFS(G$2:G80, C$2:C80, C80))</f>
        <v>0</v>
      </c>
    </row>
    <row r="81" spans="1:8" ht="18" customHeight="1" x14ac:dyDescent="0.55000000000000004">
      <c r="A81" s="11"/>
      <c r="C81" s="12" t="str">
        <f>IF(ISBLANK(B81), "", INDEX('কাস্টমার তালিকা'!$A$4:$A$305, MATCH(B81, 'কাস্টমার তালিকা'!$B$4:$B$305, 0)))</f>
        <v/>
      </c>
      <c r="D81" s="8"/>
      <c r="E81" s="8"/>
      <c r="F81" s="13"/>
      <c r="G81" s="14"/>
      <c r="H81" s="9">
        <f>IF(ISBLANK(C81), "", SUMIFS(F$2:F81, C$2:C81, C81) - SUMIFS(G$2:G81, C$2:C81, C81))</f>
        <v>0</v>
      </c>
    </row>
    <row r="82" spans="1:8" ht="18" customHeight="1" x14ac:dyDescent="0.55000000000000004">
      <c r="A82" s="11"/>
      <c r="C82" s="12" t="str">
        <f>IF(ISBLANK(B82), "", INDEX('কাস্টমার তালিকা'!$A$4:$A$305, MATCH(B82, 'কাস্টমার তালিকা'!$B$4:$B$305, 0)))</f>
        <v/>
      </c>
      <c r="D82" s="8"/>
      <c r="E82" s="8"/>
      <c r="F82" s="13"/>
      <c r="G82" s="14"/>
      <c r="H82" s="9">
        <f>IF(ISBLANK(C82), "", SUMIFS(F$2:F82, C$2:C82, C82) - SUMIFS(G$2:G82, C$2:C82, C82))</f>
        <v>0</v>
      </c>
    </row>
    <row r="83" spans="1:8" ht="18" customHeight="1" x14ac:dyDescent="0.55000000000000004">
      <c r="A83" s="11"/>
      <c r="C83" s="12" t="str">
        <f>IF(ISBLANK(B83), "", INDEX('কাস্টমার তালিকা'!$A$4:$A$305, MATCH(B83, 'কাস্টমার তালিকা'!$B$4:$B$305, 0)))</f>
        <v/>
      </c>
      <c r="D83" s="8"/>
      <c r="E83" s="8"/>
      <c r="F83" s="13"/>
      <c r="G83" s="14"/>
      <c r="H83" s="9">
        <f>IF(ISBLANK(C83), "", SUMIFS(F$2:F83, C$2:C83, C83) - SUMIFS(G$2:G83, C$2:C83, C83))</f>
        <v>0</v>
      </c>
    </row>
    <row r="84" spans="1:8" ht="18" customHeight="1" x14ac:dyDescent="0.55000000000000004">
      <c r="A84" s="11"/>
      <c r="C84" s="12" t="str">
        <f>IF(ISBLANK(B84), "", INDEX('কাস্টমার তালিকা'!$A$4:$A$305, MATCH(B84, 'কাস্টমার তালিকা'!$B$4:$B$305, 0)))</f>
        <v/>
      </c>
      <c r="D84" s="8"/>
      <c r="E84" s="8"/>
      <c r="F84" s="13"/>
      <c r="G84" s="14"/>
      <c r="H84" s="9">
        <f>IF(ISBLANK(C84), "", SUMIFS(F$2:F84, C$2:C84, C84) - SUMIFS(G$2:G84, C$2:C84, C84))</f>
        <v>0</v>
      </c>
    </row>
    <row r="85" spans="1:8" ht="18" customHeight="1" x14ac:dyDescent="0.55000000000000004">
      <c r="A85" s="11"/>
      <c r="C85" s="12" t="str">
        <f>IF(ISBLANK(B85), "", INDEX('কাস্টমার তালিকা'!$A$4:$A$305, MATCH(B85, 'কাস্টমার তালিকা'!$B$4:$B$305, 0)))</f>
        <v/>
      </c>
      <c r="D85" s="8"/>
      <c r="E85" s="8"/>
      <c r="F85" s="13"/>
      <c r="G85" s="14"/>
      <c r="H85" s="9">
        <f>IF(ISBLANK(C85), "", SUMIFS(F$2:F85, C$2:C85, C85) - SUMIFS(G$2:G85, C$2:C85, C85))</f>
        <v>0</v>
      </c>
    </row>
    <row r="86" spans="1:8" ht="18" customHeight="1" x14ac:dyDescent="0.55000000000000004">
      <c r="A86" s="11"/>
      <c r="C86" s="12" t="str">
        <f>IF(ISBLANK(B86), "", INDEX('কাস্টমার তালিকা'!$A$4:$A$305, MATCH(B86, 'কাস্টমার তালিকা'!$B$4:$B$305, 0)))</f>
        <v/>
      </c>
      <c r="D86" s="8"/>
      <c r="E86" s="8"/>
      <c r="F86" s="13"/>
      <c r="G86" s="14"/>
      <c r="H86" s="9">
        <f>IF(ISBLANK(C86), "", SUMIFS(F$2:F86, C$2:C86, C86) - SUMIFS(G$2:G86, C$2:C86, C86))</f>
        <v>0</v>
      </c>
    </row>
    <row r="87" spans="1:8" ht="18" customHeight="1" x14ac:dyDescent="0.55000000000000004">
      <c r="A87" s="11"/>
      <c r="C87" s="12" t="str">
        <f>IF(ISBLANK(B87), "", INDEX('কাস্টমার তালিকা'!$A$4:$A$305, MATCH(B87, 'কাস্টমার তালিকা'!$B$4:$B$305, 0)))</f>
        <v/>
      </c>
      <c r="D87" s="8"/>
      <c r="E87" s="8"/>
      <c r="F87" s="13"/>
      <c r="G87" s="14"/>
      <c r="H87" s="9">
        <f>IF(ISBLANK(C87), "", SUMIFS(F$2:F87, C$2:C87, C87) - SUMIFS(G$2:G87, C$2:C87, C87))</f>
        <v>0</v>
      </c>
    </row>
    <row r="88" spans="1:8" ht="18" customHeight="1" x14ac:dyDescent="0.55000000000000004">
      <c r="A88" s="11"/>
      <c r="C88" s="12" t="str">
        <f>IF(ISBLANK(B88), "", INDEX('কাস্টমার তালিকা'!$A$4:$A$305, MATCH(B88, 'কাস্টমার তালিকা'!$B$4:$B$305, 0)))</f>
        <v/>
      </c>
      <c r="D88" s="8"/>
      <c r="E88" s="8"/>
      <c r="F88" s="13"/>
      <c r="G88" s="14"/>
      <c r="H88" s="9">
        <f>IF(ISBLANK(C88), "", SUMIFS(F$2:F88, C$2:C88, C88) - SUMIFS(G$2:G88, C$2:C88, C88))</f>
        <v>0</v>
      </c>
    </row>
    <row r="89" spans="1:8" ht="18" customHeight="1" x14ac:dyDescent="0.55000000000000004">
      <c r="A89" s="11"/>
      <c r="C89" s="12" t="str">
        <f>IF(ISBLANK(B89), "", INDEX('কাস্টমার তালিকা'!$A$4:$A$305, MATCH(B89, 'কাস্টমার তালিকা'!$B$4:$B$305, 0)))</f>
        <v/>
      </c>
      <c r="D89" s="8"/>
      <c r="E89" s="8"/>
      <c r="F89" s="13"/>
      <c r="G89" s="14"/>
      <c r="H89" s="9">
        <f>IF(ISBLANK(C89), "", SUMIFS(F$2:F89, C$2:C89, C89) - SUMIFS(G$2:G89, C$2:C89, C89))</f>
        <v>0</v>
      </c>
    </row>
    <row r="90" spans="1:8" ht="18" customHeight="1" x14ac:dyDescent="0.55000000000000004">
      <c r="A90" s="11"/>
      <c r="C90" s="12" t="str">
        <f>IF(ISBLANK(B90), "", INDEX('কাস্টমার তালিকা'!$A$4:$A$305, MATCH(B90, 'কাস্টমার তালিকা'!$B$4:$B$305, 0)))</f>
        <v/>
      </c>
      <c r="D90" s="8"/>
      <c r="E90" s="8"/>
      <c r="F90" s="13"/>
      <c r="G90" s="14"/>
      <c r="H90" s="9">
        <f>IF(ISBLANK(C90), "", SUMIFS(F$2:F90, C$2:C90, C90) - SUMIFS(G$2:G90, C$2:C90, C90))</f>
        <v>0</v>
      </c>
    </row>
    <row r="91" spans="1:8" ht="18" customHeight="1" x14ac:dyDescent="0.55000000000000004">
      <c r="A91" s="11"/>
      <c r="C91" s="12" t="str">
        <f>IF(ISBLANK(B91), "", INDEX('কাস্টমার তালিকা'!$A$4:$A$305, MATCH(B91, 'কাস্টমার তালিকা'!$B$4:$B$305, 0)))</f>
        <v/>
      </c>
      <c r="D91" s="8"/>
      <c r="E91" s="8"/>
      <c r="F91" s="13"/>
      <c r="G91" s="14"/>
      <c r="H91" s="9">
        <f>IF(ISBLANK(C91), "", SUMIFS(F$2:F91, C$2:C91, C91) - SUMIFS(G$2:G91, C$2:C91, C91))</f>
        <v>0</v>
      </c>
    </row>
    <row r="92" spans="1:8" ht="18" customHeight="1" x14ac:dyDescent="0.55000000000000004">
      <c r="A92" s="11"/>
      <c r="C92" s="12" t="str">
        <f>IF(ISBLANK(B92), "", INDEX('কাস্টমার তালিকা'!$A$4:$A$305, MATCH(B92, 'কাস্টমার তালিকা'!$B$4:$B$305, 0)))</f>
        <v/>
      </c>
      <c r="D92" s="8"/>
      <c r="E92" s="8"/>
      <c r="F92" s="13"/>
      <c r="G92" s="14"/>
      <c r="H92" s="9">
        <f>IF(ISBLANK(C92), "", SUMIFS(F$2:F92, C$2:C92, C92) - SUMIFS(G$2:G92, C$2:C92, C92))</f>
        <v>0</v>
      </c>
    </row>
    <row r="93" spans="1:8" ht="18" customHeight="1" x14ac:dyDescent="0.55000000000000004">
      <c r="A93" s="11"/>
      <c r="C93" s="12" t="str">
        <f>IF(ISBLANK(B93), "", INDEX('কাস্টমার তালিকা'!$A$4:$A$305, MATCH(B93, 'কাস্টমার তালিকা'!$B$4:$B$305, 0)))</f>
        <v/>
      </c>
      <c r="D93" s="8"/>
      <c r="E93" s="8"/>
      <c r="F93" s="13"/>
      <c r="G93" s="14"/>
      <c r="H93" s="9">
        <f>IF(ISBLANK(C93), "", SUMIFS(F$2:F93, C$2:C93, C93) - SUMIFS(G$2:G93, C$2:C93, C93))</f>
        <v>0</v>
      </c>
    </row>
    <row r="94" spans="1:8" ht="18" customHeight="1" x14ac:dyDescent="0.55000000000000004">
      <c r="A94" s="11"/>
      <c r="C94" s="12" t="str">
        <f>IF(ISBLANK(B94), "", INDEX('কাস্টমার তালিকা'!$A$4:$A$305, MATCH(B94, 'কাস্টমার তালিকা'!$B$4:$B$305, 0)))</f>
        <v/>
      </c>
      <c r="D94" s="8"/>
      <c r="E94" s="8"/>
      <c r="F94" s="13"/>
      <c r="G94" s="14"/>
      <c r="H94" s="9">
        <f>IF(ISBLANK(C94), "", SUMIFS(F$2:F94, C$2:C94, C94) - SUMIFS(G$2:G94, C$2:C94, C94))</f>
        <v>0</v>
      </c>
    </row>
    <row r="95" spans="1:8" ht="18" customHeight="1" x14ac:dyDescent="0.55000000000000004">
      <c r="A95" s="11"/>
      <c r="C95" s="12" t="str">
        <f>IF(ISBLANK(B95), "", INDEX('কাস্টমার তালিকা'!$A$4:$A$305, MATCH(B95, 'কাস্টমার তালিকা'!$B$4:$B$305, 0)))</f>
        <v/>
      </c>
      <c r="D95" s="8"/>
      <c r="E95" s="8"/>
      <c r="F95" s="13"/>
      <c r="G95" s="14"/>
      <c r="H95" s="9">
        <f>IF(ISBLANK(C95), "", SUMIFS(F$2:F95, C$2:C95, C95) - SUMIFS(G$2:G95, C$2:C95, C95))</f>
        <v>0</v>
      </c>
    </row>
    <row r="96" spans="1:8" ht="18" customHeight="1" x14ac:dyDescent="0.55000000000000004">
      <c r="A96" s="11"/>
      <c r="C96" s="12" t="str">
        <f>IF(ISBLANK(B96), "", INDEX('কাস্টমার তালিকা'!$A$4:$A$305, MATCH(B96, 'কাস্টমার তালিকা'!$B$4:$B$305, 0)))</f>
        <v/>
      </c>
      <c r="D96" s="8"/>
      <c r="E96" s="8"/>
      <c r="F96" s="13"/>
      <c r="G96" s="14"/>
      <c r="H96" s="9">
        <f>IF(ISBLANK(C96), "", SUMIFS(F$2:F96, C$2:C96, C96) - SUMIFS(G$2:G96, C$2:C96, C96))</f>
        <v>0</v>
      </c>
    </row>
    <row r="97" spans="1:8" ht="18" customHeight="1" x14ac:dyDescent="0.55000000000000004">
      <c r="A97" s="11"/>
      <c r="C97" s="12" t="str">
        <f>IF(ISBLANK(B97), "", INDEX('কাস্টমার তালিকা'!$A$4:$A$305, MATCH(B97, 'কাস্টমার তালিকা'!$B$4:$B$305, 0)))</f>
        <v/>
      </c>
      <c r="D97" s="8"/>
      <c r="E97" s="8"/>
      <c r="F97" s="13"/>
      <c r="G97" s="14"/>
      <c r="H97" s="9">
        <f>IF(ISBLANK(C97), "", SUMIFS(F$2:F97, C$2:C97, C97) - SUMIFS(G$2:G97, C$2:C97, C97))</f>
        <v>0</v>
      </c>
    </row>
    <row r="98" spans="1:8" ht="18" customHeight="1" x14ac:dyDescent="0.55000000000000004">
      <c r="A98" s="11"/>
      <c r="C98" s="12" t="str">
        <f>IF(ISBLANK(B98), "", INDEX('কাস্টমার তালিকা'!$A$4:$A$305, MATCH(B98, 'কাস্টমার তালিকা'!$B$4:$B$305, 0)))</f>
        <v/>
      </c>
      <c r="D98" s="8"/>
      <c r="E98" s="8"/>
      <c r="F98" s="13"/>
      <c r="G98" s="14"/>
      <c r="H98" s="9">
        <f>IF(ISBLANK(C98), "", SUMIFS(F$2:F98, C$2:C98, C98) - SUMIFS(G$2:G98, C$2:C98, C98))</f>
        <v>0</v>
      </c>
    </row>
    <row r="99" spans="1:8" ht="18" customHeight="1" x14ac:dyDescent="0.55000000000000004">
      <c r="A99" s="11"/>
      <c r="C99" s="12" t="str">
        <f>IF(ISBLANK(B99), "", INDEX('কাস্টমার তালিকা'!$A$4:$A$305, MATCH(B99, 'কাস্টমার তালিকা'!$B$4:$B$305, 0)))</f>
        <v/>
      </c>
      <c r="D99" s="8"/>
      <c r="E99" s="8"/>
      <c r="F99" s="13"/>
      <c r="G99" s="14"/>
      <c r="H99" s="9">
        <f>IF(ISBLANK(C99), "", SUMIFS(F$2:F99, C$2:C99, C99) - SUMIFS(G$2:G99, C$2:C99, C99))</f>
        <v>0</v>
      </c>
    </row>
    <row r="100" spans="1:8" ht="18" customHeight="1" x14ac:dyDescent="0.55000000000000004">
      <c r="A100" s="11"/>
      <c r="C100" s="12" t="str">
        <f>IF(ISBLANK(B100), "", INDEX('কাস্টমার তালিকা'!$A$4:$A$305, MATCH(B100, 'কাস্টমার তালিকা'!$B$4:$B$305, 0)))</f>
        <v/>
      </c>
      <c r="D100" s="8"/>
      <c r="E100" s="8"/>
      <c r="F100" s="13"/>
      <c r="G100" s="14"/>
      <c r="H100" s="9">
        <f>IF(ISBLANK(C100), "", SUMIFS(F$2:F100, C$2:C100, C100) - SUMIFS(G$2:G100, C$2:C100, C100))</f>
        <v>0</v>
      </c>
    </row>
    <row r="101" spans="1:8" ht="18" customHeight="1" x14ac:dyDescent="0.55000000000000004">
      <c r="A101" s="11"/>
      <c r="C101" s="12" t="str">
        <f>IF(ISBLANK(B101), "", INDEX('কাস্টমার তালিকা'!$A$4:$A$305, MATCH(B101, 'কাস্টমার তালিকা'!$B$4:$B$305, 0)))</f>
        <v/>
      </c>
      <c r="D101" s="8"/>
      <c r="E101" s="8"/>
      <c r="F101" s="13"/>
      <c r="G101" s="14"/>
      <c r="H101" s="9">
        <f>IF(ISBLANK(C101), "", SUMIFS(F$2:F101, C$2:C101, C101) - SUMIFS(G$2:G101, C$2:C101, C101))</f>
        <v>0</v>
      </c>
    </row>
    <row r="102" spans="1:8" ht="18" customHeight="1" x14ac:dyDescent="0.55000000000000004">
      <c r="A102" s="11"/>
      <c r="C102" s="12" t="str">
        <f>IF(ISBLANK(B102), "", INDEX('কাস্টমার তালিকা'!$A$4:$A$305, MATCH(B102, 'কাস্টমার তালিকা'!$B$4:$B$305, 0)))</f>
        <v/>
      </c>
      <c r="D102" s="8"/>
      <c r="E102" s="8"/>
      <c r="F102" s="13"/>
      <c r="G102" s="14"/>
      <c r="H102" s="9">
        <f>IF(ISBLANK(C102), "", SUMIFS(F$2:F102, C$2:C102, C102) - SUMIFS(G$2:G102, C$2:C102, C102))</f>
        <v>0</v>
      </c>
    </row>
    <row r="103" spans="1:8" ht="18" customHeight="1" x14ac:dyDescent="0.55000000000000004">
      <c r="A103" s="11"/>
      <c r="C103" s="12" t="str">
        <f>IF(ISBLANK(B103), "", INDEX('কাস্টমার তালিকা'!$A$4:$A$305, MATCH(B103, 'কাস্টমার তালিকা'!$B$4:$B$305, 0)))</f>
        <v/>
      </c>
      <c r="D103" s="8"/>
      <c r="E103" s="8"/>
      <c r="F103" s="13"/>
      <c r="G103" s="14"/>
      <c r="H103" s="9">
        <f>IF(ISBLANK(C103), "", SUMIFS(F$2:F103, C$2:C103, C103) - SUMIFS(G$2:G103, C$2:C103, C103))</f>
        <v>0</v>
      </c>
    </row>
    <row r="104" spans="1:8" ht="18" customHeight="1" x14ac:dyDescent="0.55000000000000004">
      <c r="A104" s="11"/>
      <c r="C104" s="12" t="str">
        <f>IF(ISBLANK(B104), "", INDEX('কাস্টমার তালিকা'!$A$4:$A$305, MATCH(B104, 'কাস্টমার তালিকা'!$B$4:$B$305, 0)))</f>
        <v/>
      </c>
      <c r="D104" s="8"/>
      <c r="E104" s="8"/>
      <c r="F104" s="13"/>
      <c r="G104" s="14"/>
      <c r="H104" s="9">
        <f>IF(ISBLANK(C104), "", SUMIFS(F$2:F104, C$2:C104, C104) - SUMIFS(G$2:G104, C$2:C104, C104))</f>
        <v>0</v>
      </c>
    </row>
    <row r="105" spans="1:8" ht="18" customHeight="1" x14ac:dyDescent="0.55000000000000004">
      <c r="A105" s="11"/>
      <c r="C105" s="12" t="str">
        <f>IF(ISBLANK(B105), "", INDEX('কাস্টমার তালিকা'!$A$4:$A$305, MATCH(B105, 'কাস্টমার তালিকা'!$B$4:$B$305, 0)))</f>
        <v/>
      </c>
      <c r="D105" s="8"/>
      <c r="E105" s="8"/>
      <c r="F105" s="13"/>
      <c r="G105" s="14"/>
      <c r="H105" s="9">
        <f>IF(ISBLANK(C105), "", SUMIFS(F$2:F105, C$2:C105, C105) - SUMIFS(G$2:G105, C$2:C105, C105))</f>
        <v>0</v>
      </c>
    </row>
    <row r="106" spans="1:8" ht="18" customHeight="1" x14ac:dyDescent="0.55000000000000004">
      <c r="A106" s="11"/>
      <c r="C106" s="12" t="str">
        <f>IF(ISBLANK(B106), "", INDEX('কাস্টমার তালিকা'!$A$4:$A$305, MATCH(B106, 'কাস্টমার তালিকা'!$B$4:$B$305, 0)))</f>
        <v/>
      </c>
      <c r="D106" s="8"/>
      <c r="E106" s="8"/>
      <c r="F106" s="13"/>
      <c r="G106" s="14"/>
      <c r="H106" s="9">
        <f>IF(ISBLANK(C106), "", SUMIFS(F$2:F106, C$2:C106, C106) - SUMIFS(G$2:G106, C$2:C106, C106))</f>
        <v>0</v>
      </c>
    </row>
    <row r="107" spans="1:8" ht="18" customHeight="1" x14ac:dyDescent="0.55000000000000004">
      <c r="A107" s="11"/>
      <c r="C107" s="12" t="str">
        <f>IF(ISBLANK(B107), "", INDEX('কাস্টমার তালিকা'!$A$4:$A$305, MATCH(B107, 'কাস্টমার তালিকা'!$B$4:$B$305, 0)))</f>
        <v/>
      </c>
      <c r="D107" s="8"/>
      <c r="E107" s="8"/>
      <c r="F107" s="13"/>
      <c r="G107" s="14"/>
      <c r="H107" s="9">
        <f>IF(ISBLANK(C107), "", SUMIFS(F$2:F107, C$2:C107, C107) - SUMIFS(G$2:G107, C$2:C107, C107))</f>
        <v>0</v>
      </c>
    </row>
    <row r="108" spans="1:8" ht="18" customHeight="1" x14ac:dyDescent="0.55000000000000004">
      <c r="A108" s="11"/>
      <c r="C108" s="12" t="str">
        <f>IF(ISBLANK(B108), "", INDEX('কাস্টমার তালিকা'!$A$4:$A$305, MATCH(B108, 'কাস্টমার তালিকা'!$B$4:$B$305, 0)))</f>
        <v/>
      </c>
      <c r="D108" s="8"/>
      <c r="E108" s="8"/>
      <c r="F108" s="13"/>
      <c r="G108" s="14"/>
      <c r="H108" s="9">
        <f>IF(ISBLANK(C108), "", SUMIFS(F$2:F108, C$2:C108, C108) - SUMIFS(G$2:G108, C$2:C108, C108))</f>
        <v>0</v>
      </c>
    </row>
    <row r="109" spans="1:8" ht="18" customHeight="1" x14ac:dyDescent="0.55000000000000004">
      <c r="A109" s="11"/>
      <c r="C109" s="12" t="str">
        <f>IF(ISBLANK(B109), "", INDEX('কাস্টমার তালিকা'!$A$4:$A$305, MATCH(B109, 'কাস্টমার তালিকা'!$B$4:$B$305, 0)))</f>
        <v/>
      </c>
      <c r="D109" s="8"/>
      <c r="E109" s="8"/>
      <c r="F109" s="13"/>
      <c r="G109" s="14"/>
      <c r="H109" s="9">
        <f>IF(ISBLANK(C109), "", SUMIFS(F$2:F109, C$2:C109, C109) - SUMIFS(G$2:G109, C$2:C109, C109))</f>
        <v>0</v>
      </c>
    </row>
    <row r="110" spans="1:8" ht="18" customHeight="1" x14ac:dyDescent="0.55000000000000004">
      <c r="A110" s="11"/>
      <c r="C110" s="12" t="str">
        <f>IF(ISBLANK(B110), "", INDEX('কাস্টমার তালিকা'!$A$4:$A$305, MATCH(B110, 'কাস্টমার তালিকা'!$B$4:$B$305, 0)))</f>
        <v/>
      </c>
      <c r="D110" s="8"/>
      <c r="E110" s="8"/>
      <c r="F110" s="13"/>
      <c r="G110" s="14"/>
      <c r="H110" s="9">
        <f>IF(ISBLANK(C110), "", SUMIFS(F$2:F110, C$2:C110, C110) - SUMIFS(G$2:G110, C$2:C110, C110))</f>
        <v>0</v>
      </c>
    </row>
    <row r="111" spans="1:8" ht="18" customHeight="1" x14ac:dyDescent="0.55000000000000004">
      <c r="A111" s="11"/>
      <c r="C111" s="12" t="str">
        <f>IF(ISBLANK(B111), "", INDEX('কাস্টমার তালিকা'!$A$4:$A$305, MATCH(B111, 'কাস্টমার তালিকা'!$B$4:$B$305, 0)))</f>
        <v/>
      </c>
      <c r="D111" s="8"/>
      <c r="E111" s="8"/>
      <c r="F111" s="13"/>
      <c r="G111" s="14"/>
      <c r="H111" s="9">
        <f>IF(ISBLANK(C111), "", SUMIFS(F$2:F111, C$2:C111, C111) - SUMIFS(G$2:G111, C$2:C111, C111))</f>
        <v>0</v>
      </c>
    </row>
    <row r="112" spans="1:8" ht="18" customHeight="1" x14ac:dyDescent="0.55000000000000004">
      <c r="A112" s="11"/>
      <c r="C112" s="12" t="str">
        <f>IF(ISBLANK(B112), "", INDEX('কাস্টমার তালিকা'!$A$4:$A$305, MATCH(B112, 'কাস্টমার তালিকা'!$B$4:$B$305, 0)))</f>
        <v/>
      </c>
      <c r="D112" s="8"/>
      <c r="E112" s="8"/>
      <c r="F112" s="13"/>
      <c r="G112" s="14"/>
      <c r="H112" s="9">
        <f>IF(ISBLANK(C112), "", SUMIFS(F$2:F112, C$2:C112, C112) - SUMIFS(G$2:G112, C$2:C112, C112))</f>
        <v>0</v>
      </c>
    </row>
    <row r="113" spans="1:8" ht="18" customHeight="1" x14ac:dyDescent="0.55000000000000004">
      <c r="A113" s="11"/>
      <c r="C113" s="12" t="str">
        <f>IF(ISBLANK(B113), "", INDEX('কাস্টমার তালিকা'!$A$4:$A$305, MATCH(B113, 'কাস্টমার তালিকা'!$B$4:$B$305, 0)))</f>
        <v/>
      </c>
      <c r="D113" s="8"/>
      <c r="E113" s="8"/>
      <c r="F113" s="13"/>
      <c r="G113" s="14"/>
      <c r="H113" s="9">
        <f>IF(ISBLANK(C113), "", SUMIFS(F$2:F113, C$2:C113, C113) - SUMIFS(G$2:G113, C$2:C113, C113))</f>
        <v>0</v>
      </c>
    </row>
    <row r="114" spans="1:8" ht="18" customHeight="1" x14ac:dyDescent="0.55000000000000004">
      <c r="A114" s="11"/>
      <c r="C114" s="12" t="str">
        <f>IF(ISBLANK(B114), "", INDEX('কাস্টমার তালিকা'!$A$4:$A$305, MATCH(B114, 'কাস্টমার তালিকা'!$B$4:$B$305, 0)))</f>
        <v/>
      </c>
      <c r="D114" s="8"/>
      <c r="E114" s="8"/>
      <c r="F114" s="13"/>
      <c r="G114" s="14"/>
      <c r="H114" s="9">
        <f>IF(ISBLANK(C114), "", SUMIFS(F$2:F114, C$2:C114, C114) - SUMIFS(G$2:G114, C$2:C114, C114))</f>
        <v>0</v>
      </c>
    </row>
    <row r="115" spans="1:8" ht="18" customHeight="1" x14ac:dyDescent="0.55000000000000004">
      <c r="A115" s="11"/>
      <c r="C115" s="12" t="str">
        <f>IF(ISBLANK(B115), "", INDEX('কাস্টমার তালিকা'!$A$4:$A$305, MATCH(B115, 'কাস্টমার তালিকা'!$B$4:$B$305, 0)))</f>
        <v/>
      </c>
      <c r="D115" s="8"/>
      <c r="E115" s="8"/>
      <c r="F115" s="13"/>
      <c r="G115" s="14"/>
      <c r="H115" s="9">
        <f>IF(ISBLANK(C115), "", SUMIFS(F$2:F115, C$2:C115, C115) - SUMIFS(G$2:G115, C$2:C115, C115))</f>
        <v>0</v>
      </c>
    </row>
    <row r="116" spans="1:8" ht="18" customHeight="1" x14ac:dyDescent="0.55000000000000004">
      <c r="A116" s="11"/>
      <c r="C116" s="12" t="str">
        <f>IF(ISBLANK(B116), "", INDEX('কাস্টমার তালিকা'!$A$4:$A$305, MATCH(B116, 'কাস্টমার তালিকা'!$B$4:$B$305, 0)))</f>
        <v/>
      </c>
      <c r="D116" s="8"/>
      <c r="E116" s="8"/>
      <c r="F116" s="13"/>
      <c r="G116" s="14"/>
      <c r="H116" s="9">
        <f>IF(ISBLANK(C116), "", SUMIFS(F$2:F116, C$2:C116, C116) - SUMIFS(G$2:G116, C$2:C116, C116))</f>
        <v>0</v>
      </c>
    </row>
    <row r="117" spans="1:8" ht="18" customHeight="1" x14ac:dyDescent="0.55000000000000004">
      <c r="A117" s="11"/>
      <c r="C117" s="12" t="str">
        <f>IF(ISBLANK(B117), "", INDEX('কাস্টমার তালিকা'!$A$4:$A$305, MATCH(B117, 'কাস্টমার তালিকা'!$B$4:$B$305, 0)))</f>
        <v/>
      </c>
      <c r="D117" s="8"/>
      <c r="E117" s="8"/>
      <c r="F117" s="13"/>
      <c r="G117" s="14"/>
      <c r="H117" s="9">
        <f>IF(ISBLANK(C117), "", SUMIFS(F$2:F117, C$2:C117, C117) - SUMIFS(G$2:G117, C$2:C117, C117))</f>
        <v>0</v>
      </c>
    </row>
    <row r="118" spans="1:8" ht="18" customHeight="1" x14ac:dyDescent="0.55000000000000004">
      <c r="A118" s="11"/>
      <c r="C118" s="12" t="str">
        <f>IF(ISBLANK(B118), "", INDEX('কাস্টমার তালিকা'!$A$4:$A$305, MATCH(B118, 'কাস্টমার তালিকা'!$B$4:$B$305, 0)))</f>
        <v/>
      </c>
      <c r="D118" s="8"/>
      <c r="E118" s="8"/>
      <c r="F118" s="13"/>
      <c r="G118" s="14"/>
      <c r="H118" s="9">
        <f>IF(ISBLANK(C118), "", SUMIFS(F$2:F118, C$2:C118, C118) - SUMIFS(G$2:G118, C$2:C118, C118))</f>
        <v>0</v>
      </c>
    </row>
    <row r="119" spans="1:8" ht="18" customHeight="1" x14ac:dyDescent="0.55000000000000004">
      <c r="A119" s="11"/>
      <c r="C119" s="12" t="str">
        <f>IF(ISBLANK(B119), "", INDEX('কাস্টমার তালিকা'!$A$4:$A$305, MATCH(B119, 'কাস্টমার তালিকা'!$B$4:$B$305, 0)))</f>
        <v/>
      </c>
      <c r="D119" s="8"/>
      <c r="E119" s="8"/>
      <c r="F119" s="13"/>
      <c r="G119" s="14"/>
      <c r="H119" s="9">
        <f>IF(ISBLANK(C119), "", SUMIFS(F$2:F119, C$2:C119, C119) - SUMIFS(G$2:G119, C$2:C119, C119))</f>
        <v>0</v>
      </c>
    </row>
    <row r="120" spans="1:8" ht="18" customHeight="1" x14ac:dyDescent="0.55000000000000004">
      <c r="A120" s="11"/>
      <c r="C120" s="12" t="str">
        <f>IF(ISBLANK(B120), "", INDEX('কাস্টমার তালিকা'!$A$4:$A$305, MATCH(B120, 'কাস্টমার তালিকা'!$B$4:$B$305, 0)))</f>
        <v/>
      </c>
      <c r="D120" s="8"/>
      <c r="E120" s="8"/>
      <c r="F120" s="13"/>
      <c r="G120" s="14"/>
      <c r="H120" s="9">
        <f>IF(ISBLANK(C120), "", SUMIFS(F$2:F120, C$2:C120, C120) - SUMIFS(G$2:G120, C$2:C120, C120))</f>
        <v>0</v>
      </c>
    </row>
    <row r="121" spans="1:8" ht="18" customHeight="1" x14ac:dyDescent="0.55000000000000004">
      <c r="A121" s="11"/>
      <c r="C121" s="12" t="str">
        <f>IF(ISBLANK(B121), "", INDEX('কাস্টমার তালিকা'!$A$4:$A$305, MATCH(B121, 'কাস্টমার তালিকা'!$B$4:$B$305, 0)))</f>
        <v/>
      </c>
      <c r="D121" s="8"/>
      <c r="E121" s="8"/>
      <c r="F121" s="13"/>
      <c r="G121" s="14"/>
      <c r="H121" s="9">
        <f>IF(ISBLANK(C121), "", SUMIFS(F$2:F121, C$2:C121, C121) - SUMIFS(G$2:G121, C$2:C121, C121))</f>
        <v>0</v>
      </c>
    </row>
    <row r="122" spans="1:8" ht="18" customHeight="1" x14ac:dyDescent="0.55000000000000004">
      <c r="A122" s="11"/>
      <c r="C122" s="12" t="str">
        <f>IF(ISBLANK(B122), "", INDEX('কাস্টমার তালিকা'!$A$4:$A$305, MATCH(B122, 'কাস্টমার তালিকা'!$B$4:$B$305, 0)))</f>
        <v/>
      </c>
      <c r="D122" s="8"/>
      <c r="E122" s="8"/>
      <c r="F122" s="13"/>
      <c r="G122" s="14"/>
      <c r="H122" s="9">
        <f>IF(ISBLANK(C122), "", SUMIFS(F$2:F122, C$2:C122, C122) - SUMIFS(G$2:G122, C$2:C122, C122))</f>
        <v>0</v>
      </c>
    </row>
    <row r="123" spans="1:8" ht="18" customHeight="1" x14ac:dyDescent="0.55000000000000004">
      <c r="A123" s="11"/>
      <c r="C123" s="12" t="str">
        <f>IF(ISBLANK(B123), "", INDEX('কাস্টমার তালিকা'!$A$4:$A$305, MATCH(B123, 'কাস্টমার তালিকা'!$B$4:$B$305, 0)))</f>
        <v/>
      </c>
      <c r="D123" s="8"/>
      <c r="E123" s="8"/>
      <c r="F123" s="13"/>
      <c r="G123" s="14"/>
      <c r="H123" s="9">
        <f>IF(ISBLANK(C123), "", SUMIFS(F$2:F123, C$2:C123, C123) - SUMIFS(G$2:G123, C$2:C123, C123))</f>
        <v>0</v>
      </c>
    </row>
    <row r="124" spans="1:8" ht="18" customHeight="1" x14ac:dyDescent="0.55000000000000004">
      <c r="A124" s="11"/>
      <c r="C124" s="12" t="str">
        <f>IF(ISBLANK(B124), "", INDEX('কাস্টমার তালিকা'!$A$4:$A$305, MATCH(B124, 'কাস্টমার তালিকা'!$B$4:$B$305, 0)))</f>
        <v/>
      </c>
      <c r="D124" s="8"/>
      <c r="E124" s="8"/>
      <c r="F124" s="13"/>
      <c r="G124" s="14"/>
      <c r="H124" s="9">
        <f>IF(ISBLANK(C124), "", SUMIFS(F$2:F124, C$2:C124, C124) - SUMIFS(G$2:G124, C$2:C124, C124))</f>
        <v>0</v>
      </c>
    </row>
    <row r="125" spans="1:8" ht="18" customHeight="1" x14ac:dyDescent="0.55000000000000004">
      <c r="A125" s="11"/>
      <c r="C125" s="12" t="str">
        <f>IF(ISBLANK(B125), "", INDEX('কাস্টমার তালিকা'!$A$4:$A$305, MATCH(B125, 'কাস্টমার তালিকা'!$B$4:$B$305, 0)))</f>
        <v/>
      </c>
      <c r="D125" s="8"/>
      <c r="E125" s="8"/>
      <c r="F125" s="13"/>
      <c r="G125" s="14"/>
      <c r="H125" s="9">
        <f>IF(ISBLANK(C125), "", SUMIFS(F$2:F125, C$2:C125, C125) - SUMIFS(G$2:G125, C$2:C125, C125))</f>
        <v>0</v>
      </c>
    </row>
    <row r="126" spans="1:8" ht="18" customHeight="1" x14ac:dyDescent="0.55000000000000004">
      <c r="A126" s="11"/>
      <c r="C126" s="12" t="str">
        <f>IF(ISBLANK(B126), "", INDEX('কাস্টমার তালিকা'!$A$4:$A$305, MATCH(B126, 'কাস্টমার তালিকা'!$B$4:$B$305, 0)))</f>
        <v/>
      </c>
      <c r="D126" s="8"/>
      <c r="E126" s="8"/>
      <c r="F126" s="13"/>
      <c r="G126" s="14"/>
      <c r="H126" s="9">
        <f>IF(ISBLANK(C126), "", SUMIFS(F$2:F126, C$2:C126, C126) - SUMIFS(G$2:G126, C$2:C126, C126))</f>
        <v>0</v>
      </c>
    </row>
    <row r="127" spans="1:8" ht="18" customHeight="1" x14ac:dyDescent="0.55000000000000004">
      <c r="A127" s="11"/>
      <c r="C127" s="12" t="str">
        <f>IF(ISBLANK(B127), "", INDEX('কাস্টমার তালিকা'!$A$4:$A$305, MATCH(B127, 'কাস্টমার তালিকা'!$B$4:$B$305, 0)))</f>
        <v/>
      </c>
      <c r="D127" s="8"/>
      <c r="E127" s="8"/>
      <c r="F127" s="13"/>
      <c r="G127" s="14"/>
      <c r="H127" s="9">
        <f>IF(ISBLANK(C127), "", SUMIFS(F$2:F127, C$2:C127, C127) - SUMIFS(G$2:G127, C$2:C127, C127))</f>
        <v>0</v>
      </c>
    </row>
    <row r="128" spans="1:8" ht="18" customHeight="1" x14ac:dyDescent="0.55000000000000004">
      <c r="A128" s="11"/>
      <c r="C128" s="12" t="str">
        <f>IF(ISBLANK(B128), "", INDEX('কাস্টমার তালিকা'!$A$4:$A$305, MATCH(B128, 'কাস্টমার তালিকা'!$B$4:$B$305, 0)))</f>
        <v/>
      </c>
      <c r="D128" s="8"/>
      <c r="E128" s="8"/>
      <c r="F128" s="13"/>
      <c r="G128" s="14"/>
      <c r="H128" s="9">
        <f>IF(ISBLANK(C128), "", SUMIFS(F$2:F128, C$2:C128, C128) - SUMIFS(G$2:G128, C$2:C128, C128))</f>
        <v>0</v>
      </c>
    </row>
    <row r="129" spans="1:8" ht="18" customHeight="1" x14ac:dyDescent="0.55000000000000004">
      <c r="A129" s="11"/>
      <c r="C129" s="12" t="str">
        <f>IF(ISBLANK(B129), "", INDEX('কাস্টমার তালিকা'!$A$4:$A$305, MATCH(B129, 'কাস্টমার তালিকা'!$B$4:$B$305, 0)))</f>
        <v/>
      </c>
      <c r="D129" s="8"/>
      <c r="E129" s="8"/>
      <c r="F129" s="13"/>
      <c r="G129" s="14"/>
      <c r="H129" s="9">
        <f>IF(ISBLANK(C129), "", SUMIFS(F$2:F129, C$2:C129, C129) - SUMIFS(G$2:G129, C$2:C129, C129))</f>
        <v>0</v>
      </c>
    </row>
    <row r="130" spans="1:8" ht="18" customHeight="1" x14ac:dyDescent="0.55000000000000004">
      <c r="A130" s="11"/>
      <c r="C130" s="12" t="str">
        <f>IF(ISBLANK(B130), "", INDEX('কাস্টমার তালিকা'!$A$4:$A$305, MATCH(B130, 'কাস্টমার তালিকা'!$B$4:$B$305, 0)))</f>
        <v/>
      </c>
      <c r="D130" s="8"/>
      <c r="E130" s="8"/>
      <c r="F130" s="13"/>
      <c r="G130" s="14"/>
      <c r="H130" s="9">
        <f>IF(ISBLANK(C130), "", SUMIFS(F$2:F130, C$2:C130, C130) - SUMIFS(G$2:G130, C$2:C130, C130))</f>
        <v>0</v>
      </c>
    </row>
    <row r="131" spans="1:8" ht="18" customHeight="1" x14ac:dyDescent="0.55000000000000004">
      <c r="A131" s="11"/>
      <c r="C131" s="12" t="str">
        <f>IF(ISBLANK(B131), "", INDEX('কাস্টমার তালিকা'!$A$4:$A$305, MATCH(B131, 'কাস্টমার তালিকা'!$B$4:$B$305, 0)))</f>
        <v/>
      </c>
      <c r="D131" s="8"/>
      <c r="E131" s="8"/>
      <c r="F131" s="13"/>
      <c r="G131" s="14"/>
      <c r="H131" s="9">
        <f>IF(ISBLANK(C131), "", SUMIFS(F$2:F131, C$2:C131, C131) - SUMIFS(G$2:G131, C$2:C131, C131))</f>
        <v>0</v>
      </c>
    </row>
    <row r="132" spans="1:8" ht="18" customHeight="1" x14ac:dyDescent="0.55000000000000004">
      <c r="A132" s="11"/>
      <c r="C132" s="12" t="str">
        <f>IF(ISBLANK(B132), "", INDEX('কাস্টমার তালিকা'!$A$4:$A$305, MATCH(B132, 'কাস্টমার তালিকা'!$B$4:$B$305, 0)))</f>
        <v/>
      </c>
      <c r="D132" s="8"/>
      <c r="E132" s="8"/>
      <c r="F132" s="13"/>
      <c r="G132" s="14"/>
      <c r="H132" s="9">
        <f>IF(ISBLANK(C132), "", SUMIFS(F$2:F132, C$2:C132, C132) - SUMIFS(G$2:G132, C$2:C132, C132))</f>
        <v>0</v>
      </c>
    </row>
    <row r="133" spans="1:8" ht="18" customHeight="1" x14ac:dyDescent="0.55000000000000004">
      <c r="A133" s="11"/>
      <c r="C133" s="12" t="str">
        <f>IF(ISBLANK(B133), "", INDEX('কাস্টমার তালিকা'!$A$4:$A$305, MATCH(B133, 'কাস্টমার তালিকা'!$B$4:$B$305, 0)))</f>
        <v/>
      </c>
      <c r="D133" s="8"/>
      <c r="E133" s="8"/>
      <c r="F133" s="13"/>
      <c r="G133" s="14"/>
      <c r="H133" s="9">
        <f>IF(ISBLANK(C133), "", SUMIFS(F$2:F133, C$2:C133, C133) - SUMIFS(G$2:G133, C$2:C133, C133))</f>
        <v>0</v>
      </c>
    </row>
    <row r="134" spans="1:8" ht="18" customHeight="1" x14ac:dyDescent="0.55000000000000004">
      <c r="A134" s="11"/>
      <c r="C134" s="12" t="str">
        <f>IF(ISBLANK(B134), "", INDEX('কাস্টমার তালিকা'!$A$4:$A$305, MATCH(B134, 'কাস্টমার তালিকা'!$B$4:$B$305, 0)))</f>
        <v/>
      </c>
      <c r="D134" s="8"/>
      <c r="E134" s="8"/>
      <c r="F134" s="13"/>
      <c r="G134" s="14"/>
      <c r="H134" s="9">
        <f>IF(ISBLANK(C134), "", SUMIFS(F$2:F134, C$2:C134, C134) - SUMIFS(G$2:G134, C$2:C134, C134))</f>
        <v>0</v>
      </c>
    </row>
    <row r="135" spans="1:8" ht="18" customHeight="1" x14ac:dyDescent="0.55000000000000004">
      <c r="A135" s="11"/>
      <c r="C135" s="12" t="str">
        <f>IF(ISBLANK(B135), "", INDEX('কাস্টমার তালিকা'!$A$4:$A$305, MATCH(B135, 'কাস্টমার তালিকা'!$B$4:$B$305, 0)))</f>
        <v/>
      </c>
      <c r="D135" s="8"/>
      <c r="E135" s="8"/>
      <c r="F135" s="13"/>
      <c r="G135" s="14"/>
      <c r="H135" s="9">
        <f>IF(ISBLANK(C135), "", SUMIFS(F$2:F135, C$2:C135, C135) - SUMIFS(G$2:G135, C$2:C135, C135))</f>
        <v>0</v>
      </c>
    </row>
    <row r="136" spans="1:8" ht="18" customHeight="1" x14ac:dyDescent="0.55000000000000004">
      <c r="A136" s="11"/>
      <c r="C136" s="12" t="str">
        <f>IF(ISBLANK(B136), "", INDEX('কাস্টমার তালিকা'!$A$4:$A$305, MATCH(B136, 'কাস্টমার তালিকা'!$B$4:$B$305, 0)))</f>
        <v/>
      </c>
      <c r="D136" s="8"/>
      <c r="E136" s="8"/>
      <c r="F136" s="13"/>
      <c r="G136" s="14"/>
      <c r="H136" s="9">
        <f>IF(ISBLANK(C136), "", SUMIFS(F$2:F136, C$2:C136, C136) - SUMIFS(G$2:G136, C$2:C136, C136))</f>
        <v>0</v>
      </c>
    </row>
    <row r="137" spans="1:8" ht="18" customHeight="1" x14ac:dyDescent="0.55000000000000004">
      <c r="A137" s="11"/>
      <c r="C137" s="12" t="str">
        <f>IF(ISBLANK(B137), "", INDEX('কাস্টমার তালিকা'!$A$4:$A$305, MATCH(B137, 'কাস্টমার তালিকা'!$B$4:$B$305, 0)))</f>
        <v/>
      </c>
      <c r="D137" s="8"/>
      <c r="E137" s="8"/>
      <c r="F137" s="13"/>
      <c r="G137" s="14"/>
      <c r="H137" s="9">
        <f>IF(ISBLANK(C137), "", SUMIFS(F$2:F137, C$2:C137, C137) - SUMIFS(G$2:G137, C$2:C137, C137))</f>
        <v>0</v>
      </c>
    </row>
    <row r="138" spans="1:8" ht="18" customHeight="1" x14ac:dyDescent="0.55000000000000004">
      <c r="A138" s="11"/>
      <c r="C138" s="12" t="str">
        <f>IF(ISBLANK(B138), "", INDEX('কাস্টমার তালিকা'!$A$4:$A$305, MATCH(B138, 'কাস্টমার তালিকা'!$B$4:$B$305, 0)))</f>
        <v/>
      </c>
      <c r="D138" s="8"/>
      <c r="E138" s="8"/>
      <c r="F138" s="13"/>
      <c r="G138" s="14"/>
      <c r="H138" s="9">
        <f>IF(ISBLANK(C138), "", SUMIFS(F$2:F138, C$2:C138, C138) - SUMIFS(G$2:G138, C$2:C138, C138))</f>
        <v>0</v>
      </c>
    </row>
    <row r="139" spans="1:8" ht="18" customHeight="1" x14ac:dyDescent="0.55000000000000004">
      <c r="A139" s="11"/>
      <c r="C139" s="12" t="str">
        <f>IF(ISBLANK(B139), "", INDEX('কাস্টমার তালিকা'!$A$4:$A$305, MATCH(B139, 'কাস্টমার তালিকা'!$B$4:$B$305, 0)))</f>
        <v/>
      </c>
      <c r="D139" s="8"/>
      <c r="E139" s="8"/>
      <c r="F139" s="13"/>
      <c r="G139" s="14"/>
      <c r="H139" s="9">
        <f>IF(ISBLANK(C139), "", SUMIFS(F$2:F139, C$2:C139, C139) - SUMIFS(G$2:G139, C$2:C139, C139))</f>
        <v>0</v>
      </c>
    </row>
    <row r="140" spans="1:8" ht="18" customHeight="1" x14ac:dyDescent="0.55000000000000004">
      <c r="A140" s="11"/>
      <c r="C140" s="12" t="str">
        <f>IF(ISBLANK(B140), "", INDEX('কাস্টমার তালিকা'!$A$4:$A$305, MATCH(B140, 'কাস্টমার তালিকা'!$B$4:$B$305, 0)))</f>
        <v/>
      </c>
      <c r="D140" s="8"/>
      <c r="E140" s="8"/>
      <c r="F140" s="13"/>
      <c r="G140" s="14"/>
      <c r="H140" s="9">
        <f>IF(ISBLANK(C140), "", SUMIFS(F$2:F140, C$2:C140, C140) - SUMIFS(G$2:G140, C$2:C140, C140))</f>
        <v>0</v>
      </c>
    </row>
    <row r="141" spans="1:8" ht="18" customHeight="1" x14ac:dyDescent="0.55000000000000004">
      <c r="A141" s="11"/>
      <c r="C141" s="12" t="str">
        <f>IF(ISBLANK(B141), "", INDEX('কাস্টমার তালিকা'!$A$4:$A$305, MATCH(B141, 'কাস্টমার তালিকা'!$B$4:$B$305, 0)))</f>
        <v/>
      </c>
      <c r="D141" s="8"/>
      <c r="E141" s="8"/>
      <c r="F141" s="13"/>
      <c r="G141" s="14"/>
      <c r="H141" s="9">
        <f>IF(ISBLANK(C141), "", SUMIFS(F$2:F141, C$2:C141, C141) - SUMIFS(G$2:G141, C$2:C141, C141))</f>
        <v>0</v>
      </c>
    </row>
    <row r="142" spans="1:8" ht="18" customHeight="1" x14ac:dyDescent="0.55000000000000004">
      <c r="A142" s="11"/>
      <c r="C142" s="12" t="str">
        <f>IF(ISBLANK(B142), "", INDEX('কাস্টমার তালিকা'!$A$4:$A$305, MATCH(B142, 'কাস্টমার তালিকা'!$B$4:$B$305, 0)))</f>
        <v/>
      </c>
      <c r="D142" s="8"/>
      <c r="E142" s="8"/>
      <c r="F142" s="13"/>
      <c r="G142" s="14"/>
      <c r="H142" s="9">
        <f>IF(ISBLANK(C142), "", SUMIFS(F$2:F142, C$2:C142, C142) - SUMIFS(G$2:G142, C$2:C142, C142))</f>
        <v>0</v>
      </c>
    </row>
    <row r="143" spans="1:8" ht="18" customHeight="1" x14ac:dyDescent="0.55000000000000004">
      <c r="A143" s="11"/>
      <c r="C143" s="12" t="str">
        <f>IF(ISBLANK(B143), "", INDEX('কাস্টমার তালিকা'!$A$4:$A$305, MATCH(B143, 'কাস্টমার তালিকা'!$B$4:$B$305, 0)))</f>
        <v/>
      </c>
      <c r="D143" s="8"/>
      <c r="E143" s="8"/>
      <c r="F143" s="13"/>
      <c r="G143" s="14"/>
      <c r="H143" s="9">
        <f>IF(ISBLANK(C143), "", SUMIFS(F$2:F143, C$2:C143, C143) - SUMIFS(G$2:G143, C$2:C143, C143))</f>
        <v>0</v>
      </c>
    </row>
    <row r="144" spans="1:8" ht="18" customHeight="1" x14ac:dyDescent="0.55000000000000004">
      <c r="A144" s="11"/>
      <c r="C144" s="12" t="str">
        <f>IF(ISBLANK(B144), "", INDEX('কাস্টমার তালিকা'!$A$4:$A$305, MATCH(B144, 'কাস্টমার তালিকা'!$B$4:$B$305, 0)))</f>
        <v/>
      </c>
      <c r="D144" s="8"/>
      <c r="E144" s="8"/>
      <c r="F144" s="13"/>
      <c r="G144" s="14"/>
      <c r="H144" s="9">
        <f>IF(ISBLANK(C144), "", SUMIFS(F$2:F144, C$2:C144, C144) - SUMIFS(G$2:G144, C$2:C144, C144))</f>
        <v>0</v>
      </c>
    </row>
    <row r="145" spans="1:8" ht="18" customHeight="1" x14ac:dyDescent="0.55000000000000004">
      <c r="A145" s="11"/>
      <c r="C145" s="12" t="str">
        <f>IF(ISBLANK(B145), "", INDEX('কাস্টমার তালিকা'!$A$4:$A$305, MATCH(B145, 'কাস্টমার তালিকা'!$B$4:$B$305, 0)))</f>
        <v/>
      </c>
      <c r="D145" s="8"/>
      <c r="E145" s="8"/>
      <c r="F145" s="13"/>
      <c r="G145" s="14"/>
      <c r="H145" s="9">
        <f>IF(ISBLANK(C145), "", SUMIFS(F$2:F145, C$2:C145, C145) - SUMIFS(G$2:G145, C$2:C145, C145))</f>
        <v>0</v>
      </c>
    </row>
    <row r="146" spans="1:8" ht="18" customHeight="1" x14ac:dyDescent="0.55000000000000004">
      <c r="A146" s="11"/>
      <c r="C146" s="12" t="str">
        <f>IF(ISBLANK(B146), "", INDEX('কাস্টমার তালিকা'!$A$4:$A$305, MATCH(B146, 'কাস্টমার তালিকা'!$B$4:$B$305, 0)))</f>
        <v/>
      </c>
      <c r="D146" s="8"/>
      <c r="E146" s="8"/>
      <c r="F146" s="13"/>
      <c r="G146" s="14"/>
      <c r="H146" s="9">
        <f>IF(ISBLANK(C146), "", SUMIFS(F$2:F146, C$2:C146, C146) - SUMIFS(G$2:G146, C$2:C146, C146))</f>
        <v>0</v>
      </c>
    </row>
    <row r="147" spans="1:8" ht="18" customHeight="1" x14ac:dyDescent="0.55000000000000004">
      <c r="A147" s="11"/>
      <c r="C147" s="12" t="str">
        <f>IF(ISBLANK(B147), "", INDEX('কাস্টমার তালিকা'!$A$4:$A$305, MATCH(B147, 'কাস্টমার তালিকা'!$B$4:$B$305, 0)))</f>
        <v/>
      </c>
      <c r="D147" s="8"/>
      <c r="E147" s="8"/>
      <c r="F147" s="13"/>
      <c r="G147" s="14"/>
      <c r="H147" s="9">
        <f>IF(ISBLANK(C147), "", SUMIFS(F$2:F147, C$2:C147, C147) - SUMIFS(G$2:G147, C$2:C147, C147))</f>
        <v>0</v>
      </c>
    </row>
    <row r="148" spans="1:8" ht="18" customHeight="1" x14ac:dyDescent="0.55000000000000004">
      <c r="A148" s="11"/>
      <c r="C148" s="12" t="str">
        <f>IF(ISBLANK(B148), "", INDEX('কাস্টমার তালিকা'!$A$4:$A$305, MATCH(B148, 'কাস্টমার তালিকা'!$B$4:$B$305, 0)))</f>
        <v/>
      </c>
      <c r="D148" s="8"/>
      <c r="E148" s="8"/>
      <c r="F148" s="13"/>
      <c r="G148" s="14"/>
      <c r="H148" s="9">
        <f>IF(ISBLANK(C148), "", SUMIFS(F$2:F148, C$2:C148, C148) - SUMIFS(G$2:G148, C$2:C148, C148))</f>
        <v>0</v>
      </c>
    </row>
    <row r="149" spans="1:8" ht="18" customHeight="1" x14ac:dyDescent="0.55000000000000004">
      <c r="A149" s="11"/>
      <c r="C149" s="12" t="str">
        <f>IF(ISBLANK(B149), "", INDEX('কাস্টমার তালিকা'!$A$4:$A$305, MATCH(B149, 'কাস্টমার তালিকা'!$B$4:$B$305, 0)))</f>
        <v/>
      </c>
      <c r="D149" s="8"/>
      <c r="E149" s="8"/>
      <c r="F149" s="13"/>
      <c r="G149" s="14"/>
      <c r="H149" s="9">
        <f>IF(ISBLANK(C149), "", SUMIFS(F$2:F149, C$2:C149, C149) - SUMIFS(G$2:G149, C$2:C149, C149))</f>
        <v>0</v>
      </c>
    </row>
    <row r="150" spans="1:8" ht="18" customHeight="1" x14ac:dyDescent="0.55000000000000004">
      <c r="A150" s="11"/>
      <c r="C150" s="12" t="str">
        <f>IF(ISBLANK(B150), "", INDEX('কাস্টমার তালিকা'!$A$4:$A$305, MATCH(B150, 'কাস্টমার তালিকা'!$B$4:$B$305, 0)))</f>
        <v/>
      </c>
      <c r="D150" s="8"/>
      <c r="E150" s="8"/>
      <c r="F150" s="13"/>
      <c r="G150" s="14"/>
      <c r="H150" s="9">
        <f>IF(ISBLANK(C150), "", SUMIFS(F$2:F150, C$2:C150, C150) - SUMIFS(G$2:G150, C$2:C150, C150))</f>
        <v>0</v>
      </c>
    </row>
    <row r="151" spans="1:8" ht="18" customHeight="1" x14ac:dyDescent="0.55000000000000004">
      <c r="A151" s="11"/>
      <c r="C151" s="12" t="str">
        <f>IF(ISBLANK(B151), "", INDEX('কাস্টমার তালিকা'!$A$4:$A$305, MATCH(B151, 'কাস্টমার তালিকা'!$B$4:$B$305, 0)))</f>
        <v/>
      </c>
      <c r="D151" s="8"/>
      <c r="E151" s="8"/>
      <c r="F151" s="13"/>
      <c r="G151" s="14"/>
      <c r="H151" s="9">
        <f>IF(ISBLANK(C151), "", SUMIFS(F$2:F151, C$2:C151, C151) - SUMIFS(G$2:G151, C$2:C151, C151))</f>
        <v>0</v>
      </c>
    </row>
    <row r="152" spans="1:8" ht="18" customHeight="1" x14ac:dyDescent="0.55000000000000004">
      <c r="A152" s="11"/>
      <c r="C152" s="12" t="str">
        <f>IF(ISBLANK(B152), "", INDEX('কাস্টমার তালিকা'!$A$4:$A$305, MATCH(B152, 'কাস্টমার তালিকা'!$B$4:$B$305, 0)))</f>
        <v/>
      </c>
      <c r="D152" s="8"/>
      <c r="E152" s="8"/>
      <c r="F152" s="13"/>
      <c r="G152" s="14"/>
      <c r="H152" s="9">
        <f>IF(ISBLANK(C152), "", SUMIFS(F$2:F152, C$2:C152, C152) - SUMIFS(G$2:G152, C$2:C152, C152))</f>
        <v>0</v>
      </c>
    </row>
    <row r="153" spans="1:8" ht="18" customHeight="1" x14ac:dyDescent="0.55000000000000004">
      <c r="A153" s="11"/>
      <c r="C153" s="12" t="str">
        <f>IF(ISBLANK(B153), "", INDEX('কাস্টমার তালিকা'!$A$4:$A$305, MATCH(B153, 'কাস্টমার তালিকা'!$B$4:$B$305, 0)))</f>
        <v/>
      </c>
      <c r="D153" s="8"/>
      <c r="E153" s="8"/>
      <c r="F153" s="13"/>
      <c r="G153" s="14"/>
      <c r="H153" s="9">
        <f>IF(ISBLANK(C153), "", SUMIFS(F$2:F153, C$2:C153, C153) - SUMIFS(G$2:G153, C$2:C153, C153))</f>
        <v>0</v>
      </c>
    </row>
    <row r="154" spans="1:8" ht="18" customHeight="1" x14ac:dyDescent="0.55000000000000004">
      <c r="A154" s="11"/>
      <c r="C154" s="12" t="str">
        <f>IF(ISBLANK(B154), "", INDEX('কাস্টমার তালিকা'!$A$4:$A$305, MATCH(B154, 'কাস্টমার তালিকা'!$B$4:$B$305, 0)))</f>
        <v/>
      </c>
      <c r="D154" s="8"/>
      <c r="E154" s="8"/>
      <c r="F154" s="13"/>
      <c r="G154" s="14"/>
      <c r="H154" s="9">
        <f>IF(ISBLANK(C154), "", SUMIFS(F$2:F154, C$2:C154, C154) - SUMIFS(G$2:G154, C$2:C154, C154))</f>
        <v>0</v>
      </c>
    </row>
    <row r="155" spans="1:8" ht="18" customHeight="1" x14ac:dyDescent="0.55000000000000004">
      <c r="A155" s="11"/>
      <c r="C155" s="12" t="str">
        <f>IF(ISBLANK(B155), "", INDEX('কাস্টমার তালিকা'!$A$4:$A$305, MATCH(B155, 'কাস্টমার তালিকা'!$B$4:$B$305, 0)))</f>
        <v/>
      </c>
      <c r="D155" s="8"/>
      <c r="E155" s="8"/>
      <c r="F155" s="13"/>
      <c r="G155" s="14"/>
      <c r="H155" s="9">
        <f>IF(ISBLANK(C155), "", SUMIFS(F$2:F155, C$2:C155, C155) - SUMIFS(G$2:G155, C$2:C155, C155))</f>
        <v>0</v>
      </c>
    </row>
    <row r="156" spans="1:8" ht="18" customHeight="1" x14ac:dyDescent="0.55000000000000004">
      <c r="A156" s="11"/>
      <c r="C156" s="12" t="str">
        <f>IF(ISBLANK(B156), "", INDEX('কাস্টমার তালিকা'!$A$4:$A$305, MATCH(B156, 'কাস্টমার তালিকা'!$B$4:$B$305, 0)))</f>
        <v/>
      </c>
      <c r="D156" s="8"/>
      <c r="E156" s="8"/>
      <c r="F156" s="13"/>
      <c r="G156" s="14"/>
      <c r="H156" s="9">
        <f>IF(ISBLANK(C156), "", SUMIFS(F$2:F156, C$2:C156, C156) - SUMIFS(G$2:G156, C$2:C156, C156))</f>
        <v>0</v>
      </c>
    </row>
    <row r="157" spans="1:8" ht="18" customHeight="1" x14ac:dyDescent="0.55000000000000004">
      <c r="A157" s="11"/>
      <c r="C157" s="12" t="str">
        <f>IF(ISBLANK(B157), "", INDEX('কাস্টমার তালিকা'!$A$4:$A$305, MATCH(B157, 'কাস্টমার তালিকা'!$B$4:$B$305, 0)))</f>
        <v/>
      </c>
      <c r="D157" s="8"/>
      <c r="E157" s="8"/>
      <c r="F157" s="13"/>
      <c r="G157" s="14"/>
      <c r="H157" s="9">
        <f>IF(ISBLANK(C157), "", SUMIFS(F$2:F157, C$2:C157, C157) - SUMIFS(G$2:G157, C$2:C157, C157))</f>
        <v>0</v>
      </c>
    </row>
    <row r="158" spans="1:8" ht="18" customHeight="1" x14ac:dyDescent="0.55000000000000004">
      <c r="A158" s="11"/>
      <c r="C158" s="12" t="str">
        <f>IF(ISBLANK(B158), "", INDEX('কাস্টমার তালিকা'!$A$4:$A$305, MATCH(B158, 'কাস্টমার তালিকা'!$B$4:$B$305, 0)))</f>
        <v/>
      </c>
      <c r="D158" s="8"/>
      <c r="E158" s="8"/>
      <c r="F158" s="13"/>
      <c r="G158" s="14"/>
      <c r="H158" s="9">
        <f>IF(ISBLANK(C158), "", SUMIFS(F$2:F158, C$2:C158, C158) - SUMIFS(G$2:G158, C$2:C158, C158))</f>
        <v>0</v>
      </c>
    </row>
    <row r="159" spans="1:8" ht="18" customHeight="1" x14ac:dyDescent="0.55000000000000004">
      <c r="A159" s="11"/>
      <c r="C159" s="12" t="str">
        <f>IF(ISBLANK(B159), "", INDEX('কাস্টমার তালিকা'!$A$4:$A$305, MATCH(B159, 'কাস্টমার তালিকা'!$B$4:$B$305, 0)))</f>
        <v/>
      </c>
      <c r="D159" s="8"/>
      <c r="E159" s="8"/>
      <c r="F159" s="13"/>
      <c r="G159" s="14"/>
      <c r="H159" s="9">
        <f>IF(ISBLANK(C159), "", SUMIFS(F$2:F159, C$2:C159, C159) - SUMIFS(G$2:G159, C$2:C159, C159))</f>
        <v>0</v>
      </c>
    </row>
    <row r="160" spans="1:8" ht="18" customHeight="1" x14ac:dyDescent="0.55000000000000004">
      <c r="A160" s="11"/>
      <c r="C160" s="12" t="str">
        <f>IF(ISBLANK(B160), "", INDEX('কাস্টমার তালিকা'!$A$4:$A$305, MATCH(B160, 'কাস্টমার তালিকা'!$B$4:$B$305, 0)))</f>
        <v/>
      </c>
      <c r="D160" s="8"/>
      <c r="E160" s="8"/>
      <c r="F160" s="13"/>
      <c r="G160" s="14"/>
      <c r="H160" s="9">
        <f>IF(ISBLANK(C160), "", SUMIFS(F$2:F160, C$2:C160, C160) - SUMIFS(G$2:G160, C$2:C160, C160))</f>
        <v>0</v>
      </c>
    </row>
    <row r="161" spans="1:8" ht="18" customHeight="1" x14ac:dyDescent="0.55000000000000004">
      <c r="A161" s="11"/>
      <c r="C161" s="12" t="str">
        <f>IF(ISBLANK(B161), "", INDEX('কাস্টমার তালিকা'!$A$4:$A$305, MATCH(B161, 'কাস্টমার তালিকা'!$B$4:$B$305, 0)))</f>
        <v/>
      </c>
      <c r="D161" s="8"/>
      <c r="E161" s="8"/>
      <c r="F161" s="13"/>
      <c r="G161" s="14"/>
      <c r="H161" s="9">
        <f>IF(ISBLANK(C161), "", SUMIFS(F$2:F161, C$2:C161, C161) - SUMIFS(G$2:G161, C$2:C161, C161))</f>
        <v>0</v>
      </c>
    </row>
    <row r="162" spans="1:8" ht="18" customHeight="1" x14ac:dyDescent="0.55000000000000004">
      <c r="A162" s="11"/>
      <c r="C162" s="12" t="str">
        <f>IF(ISBLANK(B162), "", INDEX('কাস্টমার তালিকা'!$A$4:$A$305, MATCH(B162, 'কাস্টমার তালিকা'!$B$4:$B$305, 0)))</f>
        <v/>
      </c>
      <c r="D162" s="8"/>
      <c r="E162" s="8"/>
      <c r="F162" s="13"/>
      <c r="G162" s="14"/>
      <c r="H162" s="9">
        <f>IF(ISBLANK(C162), "", SUMIFS(F$2:F162, C$2:C162, C162) - SUMIFS(G$2:G162, C$2:C162, C162))</f>
        <v>0</v>
      </c>
    </row>
    <row r="163" spans="1:8" ht="18" customHeight="1" x14ac:dyDescent="0.55000000000000004">
      <c r="A163" s="11"/>
      <c r="C163" s="12" t="str">
        <f>IF(ISBLANK(B163), "", INDEX('কাস্টমার তালিকা'!$A$4:$A$305, MATCH(B163, 'কাস্টমার তালিকা'!$B$4:$B$305, 0)))</f>
        <v/>
      </c>
      <c r="D163" s="8"/>
      <c r="E163" s="8"/>
      <c r="F163" s="13"/>
      <c r="G163" s="14"/>
      <c r="H163" s="9">
        <f>IF(ISBLANK(C163), "", SUMIFS(F$2:F163, C$2:C163, C163) - SUMIFS(G$2:G163, C$2:C163, C163))</f>
        <v>0</v>
      </c>
    </row>
    <row r="164" spans="1:8" ht="18" customHeight="1" x14ac:dyDescent="0.55000000000000004">
      <c r="A164" s="11"/>
      <c r="C164" s="12" t="str">
        <f>IF(ISBLANK(B164), "", INDEX('কাস্টমার তালিকা'!$A$4:$A$305, MATCH(B164, 'কাস্টমার তালিকা'!$B$4:$B$305, 0)))</f>
        <v/>
      </c>
      <c r="D164" s="8"/>
      <c r="E164" s="8"/>
      <c r="F164" s="13"/>
      <c r="G164" s="14"/>
      <c r="H164" s="9">
        <f>IF(ISBLANK(C164), "", SUMIFS(F$2:F164, C$2:C164, C164) - SUMIFS(G$2:G164, C$2:C164, C164))</f>
        <v>0</v>
      </c>
    </row>
    <row r="165" spans="1:8" ht="18" customHeight="1" x14ac:dyDescent="0.55000000000000004">
      <c r="A165" s="11"/>
      <c r="C165" s="12" t="str">
        <f>IF(ISBLANK(B165), "", INDEX('কাস্টমার তালিকা'!$A$4:$A$305, MATCH(B165, 'কাস্টমার তালিকা'!$B$4:$B$305, 0)))</f>
        <v/>
      </c>
      <c r="D165" s="8"/>
      <c r="E165" s="8"/>
      <c r="F165" s="13"/>
      <c r="G165" s="14"/>
      <c r="H165" s="9">
        <f>IF(ISBLANK(C165), "", SUMIFS(F$2:F165, C$2:C165, C165) - SUMIFS(G$2:G165, C$2:C165, C165))</f>
        <v>0</v>
      </c>
    </row>
    <row r="166" spans="1:8" ht="18" customHeight="1" x14ac:dyDescent="0.55000000000000004">
      <c r="A166" s="11"/>
      <c r="C166" s="12" t="str">
        <f>IF(ISBLANK(B166), "", INDEX('কাস্টমার তালিকা'!$A$4:$A$305, MATCH(B166, 'কাস্টমার তালিকা'!$B$4:$B$305, 0)))</f>
        <v/>
      </c>
      <c r="D166" s="8"/>
      <c r="E166" s="8"/>
      <c r="F166" s="13"/>
      <c r="G166" s="14"/>
      <c r="H166" s="9">
        <f>IF(ISBLANK(C166), "", SUMIFS(F$2:F166, C$2:C166, C166) - SUMIFS(G$2:G166, C$2:C166, C166))</f>
        <v>0</v>
      </c>
    </row>
    <row r="167" spans="1:8" ht="18" customHeight="1" x14ac:dyDescent="0.55000000000000004">
      <c r="A167" s="11"/>
      <c r="C167" s="12" t="str">
        <f>IF(ISBLANK(B167), "", INDEX('কাস্টমার তালিকা'!$A$4:$A$305, MATCH(B167, 'কাস্টমার তালিকা'!$B$4:$B$305, 0)))</f>
        <v/>
      </c>
      <c r="D167" s="8"/>
      <c r="E167" s="8"/>
      <c r="F167" s="13"/>
      <c r="G167" s="14"/>
      <c r="H167" s="9">
        <f>IF(ISBLANK(C167), "", SUMIFS(F$2:F167, C$2:C167, C167) - SUMIFS(G$2:G167, C$2:C167, C167))</f>
        <v>0</v>
      </c>
    </row>
    <row r="168" spans="1:8" ht="18" customHeight="1" x14ac:dyDescent="0.55000000000000004">
      <c r="A168" s="11"/>
      <c r="C168" s="12" t="str">
        <f>IF(ISBLANK(B168), "", INDEX('কাস্টমার তালিকা'!$A$4:$A$305, MATCH(B168, 'কাস্টমার তালিকা'!$B$4:$B$305, 0)))</f>
        <v/>
      </c>
      <c r="D168" s="8"/>
      <c r="E168" s="8"/>
      <c r="F168" s="13"/>
      <c r="G168" s="14"/>
      <c r="H168" s="9">
        <f>IF(ISBLANK(C168), "", SUMIFS(F$2:F168, C$2:C168, C168) - SUMIFS(G$2:G168, C$2:C168, C168))</f>
        <v>0</v>
      </c>
    </row>
    <row r="169" spans="1:8" ht="18" customHeight="1" x14ac:dyDescent="0.55000000000000004">
      <c r="A169" s="11"/>
      <c r="C169" s="12" t="str">
        <f>IF(ISBLANK(B169), "", INDEX('কাস্টমার তালিকা'!$A$4:$A$305, MATCH(B169, 'কাস্টমার তালিকা'!$B$4:$B$305, 0)))</f>
        <v/>
      </c>
      <c r="D169" s="8"/>
      <c r="E169" s="8"/>
      <c r="F169" s="13"/>
      <c r="G169" s="14"/>
      <c r="H169" s="9">
        <f>IF(ISBLANK(C169), "", SUMIFS(F$2:F169, C$2:C169, C169) - SUMIFS(G$2:G169, C$2:C169, C169))</f>
        <v>0</v>
      </c>
    </row>
    <row r="170" spans="1:8" ht="18" customHeight="1" x14ac:dyDescent="0.55000000000000004">
      <c r="A170" s="11"/>
      <c r="C170" s="12" t="str">
        <f>IF(ISBLANK(B170), "", INDEX('কাস্টমার তালিকা'!$A$4:$A$305, MATCH(B170, 'কাস্টমার তালিকা'!$B$4:$B$305, 0)))</f>
        <v/>
      </c>
      <c r="D170" s="8"/>
      <c r="E170" s="8"/>
      <c r="F170" s="13"/>
      <c r="G170" s="14"/>
      <c r="H170" s="9">
        <f>IF(ISBLANK(C170), "", SUMIFS(F$2:F170, C$2:C170, C170) - SUMIFS(G$2:G170, C$2:C170, C170))</f>
        <v>0</v>
      </c>
    </row>
    <row r="171" spans="1:8" ht="18" customHeight="1" x14ac:dyDescent="0.55000000000000004">
      <c r="A171" s="11"/>
      <c r="C171" s="12" t="str">
        <f>IF(ISBLANK(B171), "", INDEX('কাস্টমার তালিকা'!$A$4:$A$305, MATCH(B171, 'কাস্টমার তালিকা'!$B$4:$B$305, 0)))</f>
        <v/>
      </c>
      <c r="D171" s="8"/>
      <c r="E171" s="8"/>
      <c r="F171" s="13"/>
      <c r="G171" s="14"/>
      <c r="H171" s="9">
        <f>IF(ISBLANK(C171), "", SUMIFS(F$2:F171, C$2:C171, C171) - SUMIFS(G$2:G171, C$2:C171, C171))</f>
        <v>0</v>
      </c>
    </row>
    <row r="172" spans="1:8" ht="18" customHeight="1" x14ac:dyDescent="0.55000000000000004">
      <c r="A172" s="11"/>
      <c r="C172" s="12" t="str">
        <f>IF(ISBLANK(B172), "", INDEX('কাস্টমার তালিকা'!$A$4:$A$305, MATCH(B172, 'কাস্টমার তালিকা'!$B$4:$B$305, 0)))</f>
        <v/>
      </c>
      <c r="D172" s="8"/>
      <c r="E172" s="8"/>
      <c r="F172" s="13"/>
      <c r="G172" s="14"/>
      <c r="H172" s="9">
        <f>IF(ISBLANK(C172), "", SUMIFS(F$2:F172, C$2:C172, C172) - SUMIFS(G$2:G172, C$2:C172, C172))</f>
        <v>0</v>
      </c>
    </row>
    <row r="173" spans="1:8" ht="18" customHeight="1" x14ac:dyDescent="0.55000000000000004">
      <c r="A173" s="11"/>
      <c r="C173" s="12" t="str">
        <f>IF(ISBLANK(B173), "", INDEX('কাস্টমার তালিকা'!$A$4:$A$305, MATCH(B173, 'কাস্টমার তালিকা'!$B$4:$B$305, 0)))</f>
        <v/>
      </c>
      <c r="D173" s="8"/>
      <c r="E173" s="8"/>
      <c r="F173" s="13"/>
      <c r="G173" s="14"/>
      <c r="H173" s="9">
        <f>IF(ISBLANK(C173), "", SUMIFS(F$2:F173, C$2:C173, C173) - SUMIFS(G$2:G173, C$2:C173, C173))</f>
        <v>0</v>
      </c>
    </row>
    <row r="174" spans="1:8" ht="18" customHeight="1" x14ac:dyDescent="0.55000000000000004">
      <c r="A174" s="11"/>
      <c r="C174" s="12" t="str">
        <f>IF(ISBLANK(B174), "", INDEX('কাস্টমার তালিকা'!$A$4:$A$305, MATCH(B174, 'কাস্টমার তালিকা'!$B$4:$B$305, 0)))</f>
        <v/>
      </c>
      <c r="D174" s="8"/>
      <c r="E174" s="8"/>
      <c r="F174" s="13"/>
      <c r="G174" s="14"/>
      <c r="H174" s="9">
        <f>IF(ISBLANK(C174), "", SUMIFS(F$2:F174, C$2:C174, C174) - SUMIFS(G$2:G174, C$2:C174, C174))</f>
        <v>0</v>
      </c>
    </row>
    <row r="175" spans="1:8" ht="18" customHeight="1" x14ac:dyDescent="0.55000000000000004">
      <c r="A175" s="11"/>
      <c r="C175" s="12" t="str">
        <f>IF(ISBLANK(B175), "", INDEX('কাস্টমার তালিকা'!$A$4:$A$305, MATCH(B175, 'কাস্টমার তালিকা'!$B$4:$B$305, 0)))</f>
        <v/>
      </c>
      <c r="D175" s="8"/>
      <c r="E175" s="8"/>
      <c r="F175" s="13"/>
      <c r="G175" s="14"/>
      <c r="H175" s="9">
        <f>IF(ISBLANK(C175), "", SUMIFS(F$2:F175, C$2:C175, C175) - SUMIFS(G$2:G175, C$2:C175, C175))</f>
        <v>0</v>
      </c>
    </row>
    <row r="176" spans="1:8" ht="18" customHeight="1" x14ac:dyDescent="0.55000000000000004">
      <c r="A176" s="11"/>
      <c r="C176" s="12" t="str">
        <f>IF(ISBLANK(B176), "", INDEX('কাস্টমার তালিকা'!$A$4:$A$305, MATCH(B176, 'কাস্টমার তালিকা'!$B$4:$B$305, 0)))</f>
        <v/>
      </c>
      <c r="D176" s="8"/>
      <c r="E176" s="8"/>
      <c r="F176" s="13"/>
      <c r="G176" s="14"/>
      <c r="H176" s="9">
        <f>IF(ISBLANK(C176), "", SUMIFS(F$2:F176, C$2:C176, C176) - SUMIFS(G$2:G176, C$2:C176, C176))</f>
        <v>0</v>
      </c>
    </row>
    <row r="177" spans="1:8" ht="18" customHeight="1" x14ac:dyDescent="0.55000000000000004">
      <c r="A177" s="11"/>
      <c r="C177" s="12" t="str">
        <f>IF(ISBLANK(B177), "", INDEX('কাস্টমার তালিকা'!$A$4:$A$305, MATCH(B177, 'কাস্টমার তালিকা'!$B$4:$B$305, 0)))</f>
        <v/>
      </c>
      <c r="D177" s="8"/>
      <c r="E177" s="8"/>
      <c r="F177" s="13"/>
      <c r="G177" s="14"/>
      <c r="H177" s="9">
        <f>IF(ISBLANK(C177), "", SUMIFS(F$2:F177, C$2:C177, C177) - SUMIFS(G$2:G177, C$2:C177, C177))</f>
        <v>0</v>
      </c>
    </row>
    <row r="178" spans="1:8" ht="18" customHeight="1" x14ac:dyDescent="0.55000000000000004">
      <c r="A178" s="11"/>
      <c r="C178" s="12" t="str">
        <f>IF(ISBLANK(B178), "", INDEX('কাস্টমার তালিকা'!$A$4:$A$305, MATCH(B178, 'কাস্টমার তালিকা'!$B$4:$B$305, 0)))</f>
        <v/>
      </c>
      <c r="D178" s="8"/>
      <c r="E178" s="8"/>
      <c r="F178" s="13"/>
      <c r="G178" s="14"/>
      <c r="H178" s="9">
        <f>IF(ISBLANK(C178), "", SUMIFS(F$2:F178, C$2:C178, C178) - SUMIFS(G$2:G178, C$2:C178, C178))</f>
        <v>0</v>
      </c>
    </row>
    <row r="179" spans="1:8" ht="18" customHeight="1" x14ac:dyDescent="0.55000000000000004">
      <c r="A179" s="11"/>
      <c r="C179" s="12" t="str">
        <f>IF(ISBLANK(B179), "", INDEX('কাস্টমার তালিকা'!$A$4:$A$305, MATCH(B179, 'কাস্টমার তালিকা'!$B$4:$B$305, 0)))</f>
        <v/>
      </c>
      <c r="D179" s="8"/>
      <c r="E179" s="8"/>
      <c r="F179" s="13"/>
      <c r="G179" s="14"/>
      <c r="H179" s="9">
        <f>IF(ISBLANK(C179), "", SUMIFS(F$2:F179, C$2:C179, C179) - SUMIFS(G$2:G179, C$2:C179, C179))</f>
        <v>0</v>
      </c>
    </row>
    <row r="180" spans="1:8" ht="18" customHeight="1" x14ac:dyDescent="0.55000000000000004">
      <c r="A180" s="11"/>
      <c r="C180" s="12" t="str">
        <f>IF(ISBLANK(B180), "", INDEX('কাস্টমার তালিকা'!$A$4:$A$305, MATCH(B180, 'কাস্টমার তালিকা'!$B$4:$B$305, 0)))</f>
        <v/>
      </c>
      <c r="D180" s="8"/>
      <c r="E180" s="8"/>
      <c r="F180" s="13"/>
      <c r="G180" s="14"/>
      <c r="H180" s="9">
        <f>IF(ISBLANK(C180), "", SUMIFS(F$2:F180, C$2:C180, C180) - SUMIFS(G$2:G180, C$2:C180, C180))</f>
        <v>0</v>
      </c>
    </row>
    <row r="181" spans="1:8" ht="18" customHeight="1" x14ac:dyDescent="0.55000000000000004">
      <c r="A181" s="11"/>
      <c r="C181" s="12" t="str">
        <f>IF(ISBLANK(B181), "", INDEX('কাস্টমার তালিকা'!$A$4:$A$305, MATCH(B181, 'কাস্টমার তালিকা'!$B$4:$B$305, 0)))</f>
        <v/>
      </c>
      <c r="D181" s="8"/>
      <c r="E181" s="8"/>
      <c r="F181" s="13"/>
      <c r="G181" s="14"/>
      <c r="H181" s="9">
        <f>IF(ISBLANK(C181), "", SUMIFS(F$2:F181, C$2:C181, C181) - SUMIFS(G$2:G181, C$2:C181, C181))</f>
        <v>0</v>
      </c>
    </row>
    <row r="182" spans="1:8" ht="18" customHeight="1" x14ac:dyDescent="0.55000000000000004">
      <c r="A182" s="11"/>
      <c r="C182" s="12" t="str">
        <f>IF(ISBLANK(B182), "", INDEX('কাস্টমার তালিকা'!$A$4:$A$305, MATCH(B182, 'কাস্টমার তালিকা'!$B$4:$B$305, 0)))</f>
        <v/>
      </c>
      <c r="D182" s="8"/>
      <c r="E182" s="8"/>
      <c r="F182" s="13"/>
      <c r="G182" s="14"/>
      <c r="H182" s="9">
        <f>IF(ISBLANK(C182), "", SUMIFS(F$2:F182, C$2:C182, C182) - SUMIFS(G$2:G182, C$2:C182, C182))</f>
        <v>0</v>
      </c>
    </row>
    <row r="183" spans="1:8" ht="18" customHeight="1" x14ac:dyDescent="0.55000000000000004">
      <c r="A183" s="11"/>
      <c r="C183" s="12" t="str">
        <f>IF(ISBLANK(B183), "", INDEX('কাস্টমার তালিকা'!$A$4:$A$305, MATCH(B183, 'কাস্টমার তালিকা'!$B$4:$B$305, 0)))</f>
        <v/>
      </c>
      <c r="D183" s="8"/>
      <c r="E183" s="8"/>
      <c r="F183" s="13"/>
      <c r="G183" s="14"/>
      <c r="H183" s="9">
        <f>IF(ISBLANK(C183), "", SUMIFS(F$2:F183, C$2:C183, C183) - SUMIFS(G$2:G183, C$2:C183, C183))</f>
        <v>0</v>
      </c>
    </row>
    <row r="184" spans="1:8" ht="18" customHeight="1" x14ac:dyDescent="0.55000000000000004">
      <c r="A184" s="11"/>
      <c r="C184" s="12" t="str">
        <f>IF(ISBLANK(B184), "", INDEX('কাস্টমার তালিকা'!$A$4:$A$305, MATCH(B184, 'কাস্টমার তালিকা'!$B$4:$B$305, 0)))</f>
        <v/>
      </c>
      <c r="D184" s="8"/>
      <c r="E184" s="8"/>
      <c r="F184" s="13"/>
      <c r="G184" s="14"/>
      <c r="H184" s="9">
        <f>IF(ISBLANK(C184), "", SUMIFS(F$2:F184, C$2:C184, C184) - SUMIFS(G$2:G184, C$2:C184, C184))</f>
        <v>0</v>
      </c>
    </row>
    <row r="185" spans="1:8" ht="18" customHeight="1" x14ac:dyDescent="0.55000000000000004">
      <c r="A185" s="11"/>
      <c r="C185" s="12" t="str">
        <f>IF(ISBLANK(B185), "", INDEX('কাস্টমার তালিকা'!$A$4:$A$305, MATCH(B185, 'কাস্টমার তালিকা'!$B$4:$B$305, 0)))</f>
        <v/>
      </c>
      <c r="D185" s="8"/>
      <c r="E185" s="8"/>
      <c r="F185" s="13"/>
      <c r="G185" s="14"/>
      <c r="H185" s="9">
        <f>IF(ISBLANK(C185), "", SUMIFS(F$2:F185, C$2:C185, C185) - SUMIFS(G$2:G185, C$2:C185, C185))</f>
        <v>0</v>
      </c>
    </row>
    <row r="186" spans="1:8" ht="18" customHeight="1" x14ac:dyDescent="0.55000000000000004">
      <c r="A186" s="11"/>
      <c r="C186" s="12" t="str">
        <f>IF(ISBLANK(B186), "", INDEX('কাস্টমার তালিকা'!$A$4:$A$305, MATCH(B186, 'কাস্টমার তালিকা'!$B$4:$B$305, 0)))</f>
        <v/>
      </c>
      <c r="D186" s="8"/>
      <c r="E186" s="8"/>
      <c r="F186" s="13"/>
      <c r="G186" s="14"/>
      <c r="H186" s="9">
        <f>IF(ISBLANK(C186), "", SUMIFS(F$2:F186, C$2:C186, C186) - SUMIFS(G$2:G186, C$2:C186, C186))</f>
        <v>0</v>
      </c>
    </row>
    <row r="187" spans="1:8" ht="18" customHeight="1" x14ac:dyDescent="0.55000000000000004">
      <c r="A187" s="11"/>
      <c r="C187" s="12" t="str">
        <f>IF(ISBLANK(B187), "", INDEX('কাস্টমার তালিকা'!$A$4:$A$305, MATCH(B187, 'কাস্টমার তালিকা'!$B$4:$B$305, 0)))</f>
        <v/>
      </c>
      <c r="D187" s="8"/>
      <c r="E187" s="8"/>
      <c r="F187" s="13"/>
      <c r="G187" s="14"/>
      <c r="H187" s="9">
        <f>IF(ISBLANK(C187), "", SUMIFS(F$2:F187, C$2:C187, C187) - SUMIFS(G$2:G187, C$2:C187, C187))</f>
        <v>0</v>
      </c>
    </row>
    <row r="188" spans="1:8" ht="18" customHeight="1" x14ac:dyDescent="0.55000000000000004">
      <c r="A188" s="11"/>
      <c r="C188" s="12" t="str">
        <f>IF(ISBLANK(B188), "", INDEX('কাস্টমার তালিকা'!$A$4:$A$305, MATCH(B188, 'কাস্টমার তালিকা'!$B$4:$B$305, 0)))</f>
        <v/>
      </c>
      <c r="D188" s="8"/>
      <c r="E188" s="8"/>
      <c r="F188" s="13"/>
      <c r="G188" s="14"/>
      <c r="H188" s="9">
        <f>IF(ISBLANK(C188), "", SUMIFS(F$2:F188, C$2:C188, C188) - SUMIFS(G$2:G188, C$2:C188, C188))</f>
        <v>0</v>
      </c>
    </row>
    <row r="189" spans="1:8" ht="18" customHeight="1" x14ac:dyDescent="0.55000000000000004">
      <c r="A189" s="11"/>
      <c r="C189" s="12" t="str">
        <f>IF(ISBLANK(B189), "", INDEX('কাস্টমার তালিকা'!$A$4:$A$305, MATCH(B189, 'কাস্টমার তালিকা'!$B$4:$B$305, 0)))</f>
        <v/>
      </c>
      <c r="D189" s="8"/>
      <c r="E189" s="8"/>
      <c r="F189" s="13"/>
      <c r="G189" s="14"/>
      <c r="H189" s="9">
        <f>IF(ISBLANK(C189), "", SUMIFS(F$2:F189, C$2:C189, C189) - SUMIFS(G$2:G189, C$2:C189, C189))</f>
        <v>0</v>
      </c>
    </row>
    <row r="190" spans="1:8" ht="18" customHeight="1" x14ac:dyDescent="0.55000000000000004">
      <c r="A190" s="11"/>
      <c r="C190" s="12" t="str">
        <f>IF(ISBLANK(B190), "", INDEX('কাস্টমার তালিকা'!$A$4:$A$305, MATCH(B190, 'কাস্টমার তালিকা'!$B$4:$B$305, 0)))</f>
        <v/>
      </c>
      <c r="D190" s="8"/>
      <c r="E190" s="8"/>
      <c r="F190" s="13"/>
      <c r="G190" s="14"/>
      <c r="H190" s="9">
        <f>IF(ISBLANK(C190), "", SUMIFS(F$2:F190, C$2:C190, C190) - SUMIFS(G$2:G190, C$2:C190, C190))</f>
        <v>0</v>
      </c>
    </row>
    <row r="191" spans="1:8" ht="18" customHeight="1" x14ac:dyDescent="0.55000000000000004">
      <c r="A191" s="11"/>
      <c r="C191" s="12" t="str">
        <f>IF(ISBLANK(B191), "", INDEX('কাস্টমার তালিকা'!$A$4:$A$305, MATCH(B191, 'কাস্টমার তালিকা'!$B$4:$B$305, 0)))</f>
        <v/>
      </c>
      <c r="D191" s="8"/>
      <c r="E191" s="8"/>
      <c r="F191" s="13"/>
      <c r="G191" s="14"/>
      <c r="H191" s="9">
        <f>IF(ISBLANK(C191), "", SUMIFS(F$2:F191, C$2:C191, C191) - SUMIFS(G$2:G191, C$2:C191, C191))</f>
        <v>0</v>
      </c>
    </row>
    <row r="192" spans="1:8" ht="18" customHeight="1" x14ac:dyDescent="0.55000000000000004">
      <c r="A192" s="11"/>
      <c r="C192" s="12" t="str">
        <f>IF(ISBLANK(B192), "", INDEX('কাস্টমার তালিকা'!$A$4:$A$305, MATCH(B192, 'কাস্টমার তালিকা'!$B$4:$B$305, 0)))</f>
        <v/>
      </c>
      <c r="D192" s="8"/>
      <c r="E192" s="8"/>
      <c r="F192" s="13"/>
      <c r="G192" s="14"/>
      <c r="H192" s="9">
        <f>IF(ISBLANK(C192), "", SUMIFS(F$2:F192, C$2:C192, C192) - SUMIFS(G$2:G192, C$2:C192, C192))</f>
        <v>0</v>
      </c>
    </row>
    <row r="193" spans="1:8" ht="18" customHeight="1" x14ac:dyDescent="0.55000000000000004">
      <c r="A193" s="11"/>
      <c r="C193" s="12" t="str">
        <f>IF(ISBLANK(B193), "", INDEX('কাস্টমার তালিকা'!$A$4:$A$305, MATCH(B193, 'কাস্টমার তালিকা'!$B$4:$B$305, 0)))</f>
        <v/>
      </c>
      <c r="D193" s="8"/>
      <c r="E193" s="8"/>
      <c r="F193" s="13"/>
      <c r="G193" s="14"/>
      <c r="H193" s="9">
        <f>IF(ISBLANK(C193), "", SUMIFS(F$2:F193, C$2:C193, C193) - SUMIFS(G$2:G193, C$2:C193, C193))</f>
        <v>0</v>
      </c>
    </row>
    <row r="194" spans="1:8" ht="18" customHeight="1" x14ac:dyDescent="0.55000000000000004">
      <c r="A194" s="11"/>
      <c r="C194" s="12" t="str">
        <f>IF(ISBLANK(B194), "", INDEX('কাস্টমার তালিকা'!$A$4:$A$305, MATCH(B194, 'কাস্টমার তালিকা'!$B$4:$B$305, 0)))</f>
        <v/>
      </c>
      <c r="D194" s="8"/>
      <c r="E194" s="8"/>
      <c r="F194" s="13"/>
      <c r="G194" s="14"/>
      <c r="H194" s="9">
        <f>IF(ISBLANK(C194), "", SUMIFS(F$2:F194, C$2:C194, C194) - SUMIFS(G$2:G194, C$2:C194, C194))</f>
        <v>0</v>
      </c>
    </row>
    <row r="195" spans="1:8" ht="18" customHeight="1" x14ac:dyDescent="0.55000000000000004">
      <c r="A195" s="11"/>
      <c r="C195" s="12" t="str">
        <f>IF(ISBLANK(B195), "", INDEX('কাস্টমার তালিকা'!$A$4:$A$305, MATCH(B195, 'কাস্টমার তালিকা'!$B$4:$B$305, 0)))</f>
        <v/>
      </c>
      <c r="D195" s="8"/>
      <c r="E195" s="8"/>
      <c r="F195" s="13"/>
      <c r="G195" s="14"/>
      <c r="H195" s="9">
        <f>IF(ISBLANK(C195), "", SUMIFS(F$2:F195, C$2:C195, C195) - SUMIFS(G$2:G195, C$2:C195, C195))</f>
        <v>0</v>
      </c>
    </row>
    <row r="196" spans="1:8" ht="18" customHeight="1" x14ac:dyDescent="0.55000000000000004">
      <c r="A196" s="11"/>
      <c r="C196" s="12" t="str">
        <f>IF(ISBLANK(B196), "", INDEX('কাস্টমার তালিকা'!$A$4:$A$305, MATCH(B196, 'কাস্টমার তালিকা'!$B$4:$B$305, 0)))</f>
        <v/>
      </c>
      <c r="D196" s="8"/>
      <c r="E196" s="8"/>
      <c r="F196" s="13"/>
      <c r="G196" s="14"/>
      <c r="H196" s="9">
        <f>IF(ISBLANK(C196), "", SUMIFS(F$2:F196, C$2:C196, C196) - SUMIFS(G$2:G196, C$2:C196, C196))</f>
        <v>0</v>
      </c>
    </row>
    <row r="197" spans="1:8" ht="18" customHeight="1" x14ac:dyDescent="0.55000000000000004">
      <c r="A197" s="11"/>
      <c r="C197" s="12" t="str">
        <f>IF(ISBLANK(B197), "", INDEX('কাস্টমার তালিকা'!$A$4:$A$305, MATCH(B197, 'কাস্টমার তালিকা'!$B$4:$B$305, 0)))</f>
        <v/>
      </c>
      <c r="D197" s="8"/>
      <c r="E197" s="8"/>
      <c r="F197" s="13"/>
      <c r="G197" s="14"/>
      <c r="H197" s="9">
        <f>IF(ISBLANK(C197), "", SUMIFS(F$2:F197, C$2:C197, C197) - SUMIFS(G$2:G197, C$2:C197, C197))</f>
        <v>0</v>
      </c>
    </row>
    <row r="198" spans="1:8" ht="18" customHeight="1" x14ac:dyDescent="0.55000000000000004">
      <c r="A198" s="11"/>
      <c r="C198" s="12" t="str">
        <f>IF(ISBLANK(B198), "", INDEX('কাস্টমার তালিকা'!$A$4:$A$305, MATCH(B198, 'কাস্টমার তালিকা'!$B$4:$B$305, 0)))</f>
        <v/>
      </c>
      <c r="D198" s="8"/>
      <c r="E198" s="8"/>
      <c r="F198" s="13"/>
      <c r="G198" s="14"/>
      <c r="H198" s="9">
        <f>IF(ISBLANK(C198), "", SUMIFS(F$2:F198, C$2:C198, C198) - SUMIFS(G$2:G198, C$2:C198, C198))</f>
        <v>0</v>
      </c>
    </row>
    <row r="199" spans="1:8" ht="18" customHeight="1" x14ac:dyDescent="0.55000000000000004">
      <c r="A199" s="11"/>
      <c r="C199" s="12" t="str">
        <f>IF(ISBLANK(B199), "", INDEX('কাস্টমার তালিকা'!$A$4:$A$305, MATCH(B199, 'কাস্টমার তালিকা'!$B$4:$B$305, 0)))</f>
        <v/>
      </c>
      <c r="D199" s="8"/>
      <c r="E199" s="8"/>
      <c r="F199" s="13"/>
      <c r="G199" s="14"/>
      <c r="H199" s="9">
        <f>IF(ISBLANK(C199), "", SUMIFS(F$2:F199, C$2:C199, C199) - SUMIFS(G$2:G199, C$2:C199, C199))</f>
        <v>0</v>
      </c>
    </row>
    <row r="200" spans="1:8" ht="18" customHeight="1" x14ac:dyDescent="0.55000000000000004">
      <c r="A200" s="11"/>
      <c r="C200" s="12" t="str">
        <f>IF(ISBLANK(B200), "", INDEX('কাস্টমার তালিকা'!$A$4:$A$305, MATCH(B200, 'কাস্টমার তালিকা'!$B$4:$B$305, 0)))</f>
        <v/>
      </c>
      <c r="D200" s="8"/>
      <c r="E200" s="8"/>
      <c r="F200" s="13"/>
      <c r="G200" s="14"/>
      <c r="H200" s="9">
        <f>IF(ISBLANK(C200), "", SUMIFS(F$2:F200, C$2:C200, C200) - SUMIFS(G$2:G200, C$2:C200, C200))</f>
        <v>0</v>
      </c>
    </row>
    <row r="201" spans="1:8" ht="18" customHeight="1" x14ac:dyDescent="0.55000000000000004">
      <c r="A201" s="11"/>
      <c r="C201" s="12" t="str">
        <f>IF(ISBLANK(B201), "", INDEX('কাস্টমার তালিকা'!$A$4:$A$305, MATCH(B201, 'কাস্টমার তালিকা'!$B$4:$B$305, 0)))</f>
        <v/>
      </c>
      <c r="D201" s="8"/>
      <c r="E201" s="8"/>
      <c r="F201" s="13"/>
      <c r="G201" s="14"/>
      <c r="H201" s="9">
        <f>IF(ISBLANK(C201), "", SUMIFS(F$2:F201, C$2:C201, C201) - SUMIFS(G$2:G201, C$2:C201, C201))</f>
        <v>0</v>
      </c>
    </row>
    <row r="202" spans="1:8" ht="18" customHeight="1" x14ac:dyDescent="0.55000000000000004">
      <c r="A202" s="11"/>
      <c r="C202" s="12" t="str">
        <f>IF(ISBLANK(B202), "", INDEX('কাস্টমার তালিকা'!$A$4:$A$305, MATCH(B202, 'কাস্টমার তালিকা'!$B$4:$B$305, 0)))</f>
        <v/>
      </c>
      <c r="D202" s="8"/>
      <c r="E202" s="8"/>
      <c r="F202" s="13"/>
      <c r="G202" s="14"/>
      <c r="H202" s="9">
        <f>IF(ISBLANK(C202), "", SUMIFS(F$2:F202, C$2:C202, C202) - SUMIFS(G$2:G202, C$2:C202, C202))</f>
        <v>0</v>
      </c>
    </row>
    <row r="203" spans="1:8" ht="18" customHeight="1" x14ac:dyDescent="0.55000000000000004">
      <c r="A203" s="11"/>
      <c r="C203" s="12" t="str">
        <f>IF(ISBLANK(B203), "", INDEX('কাস্টমার তালিকা'!$A$4:$A$305, MATCH(B203, 'কাস্টমার তালিকা'!$B$4:$B$305, 0)))</f>
        <v/>
      </c>
      <c r="D203" s="8"/>
      <c r="E203" s="8"/>
      <c r="F203" s="13"/>
      <c r="G203" s="14"/>
      <c r="H203" s="9">
        <f>IF(ISBLANK(C203), "", SUMIFS(F$2:F203, C$2:C203, C203) - SUMIFS(G$2:G203, C$2:C203, C203))</f>
        <v>0</v>
      </c>
    </row>
    <row r="204" spans="1:8" ht="18" customHeight="1" x14ac:dyDescent="0.55000000000000004">
      <c r="A204" s="11"/>
      <c r="C204" s="12" t="str">
        <f>IF(ISBLANK(B204), "", INDEX('কাস্টমার তালিকা'!$A$4:$A$305, MATCH(B204, 'কাস্টমার তালিকা'!$B$4:$B$305, 0)))</f>
        <v/>
      </c>
      <c r="D204" s="8"/>
      <c r="E204" s="8"/>
      <c r="F204" s="13"/>
      <c r="G204" s="14"/>
      <c r="H204" s="9">
        <f>IF(ISBLANK(C204), "", SUMIFS(F$2:F204, C$2:C204, C204) - SUMIFS(G$2:G204, C$2:C204, C204))</f>
        <v>0</v>
      </c>
    </row>
    <row r="205" spans="1:8" ht="18" customHeight="1" x14ac:dyDescent="0.55000000000000004">
      <c r="A205" s="11"/>
      <c r="C205" s="12" t="str">
        <f>IF(ISBLANK(B205), "", INDEX('কাস্টমার তালিকা'!$A$4:$A$305, MATCH(B205, 'কাস্টমার তালিকা'!$B$4:$B$305, 0)))</f>
        <v/>
      </c>
      <c r="D205" s="8"/>
      <c r="E205" s="8"/>
      <c r="F205" s="13"/>
      <c r="G205" s="14"/>
      <c r="H205" s="9">
        <f>IF(ISBLANK(C205), "", SUMIFS(F$2:F205, C$2:C205, C205) - SUMIFS(G$2:G205, C$2:C205, C205))</f>
        <v>0</v>
      </c>
    </row>
    <row r="206" spans="1:8" ht="18" customHeight="1" x14ac:dyDescent="0.55000000000000004">
      <c r="A206" s="11"/>
      <c r="C206" s="12" t="str">
        <f>IF(ISBLANK(B206), "", INDEX('কাস্টমার তালিকা'!$A$4:$A$305, MATCH(B206, 'কাস্টমার তালিকা'!$B$4:$B$305, 0)))</f>
        <v/>
      </c>
      <c r="D206" s="8"/>
      <c r="E206" s="8"/>
      <c r="F206" s="13"/>
      <c r="G206" s="14"/>
      <c r="H206" s="9">
        <f>IF(ISBLANK(C206), "", SUMIFS(F$2:F206, C$2:C206, C206) - SUMIFS(G$2:G206, C$2:C206, C206))</f>
        <v>0</v>
      </c>
    </row>
    <row r="207" spans="1:8" ht="18" customHeight="1" x14ac:dyDescent="0.55000000000000004">
      <c r="A207" s="11"/>
      <c r="C207" s="12" t="str">
        <f>IF(ISBLANK(B207), "", INDEX('কাস্টমার তালিকা'!$A$4:$A$305, MATCH(B207, 'কাস্টমার তালিকা'!$B$4:$B$305, 0)))</f>
        <v/>
      </c>
      <c r="D207" s="8"/>
      <c r="E207" s="8"/>
      <c r="F207" s="13"/>
      <c r="G207" s="14"/>
      <c r="H207" s="9">
        <f>IF(ISBLANK(C207), "", SUMIFS(F$2:F207, C$2:C207, C207) - SUMIFS(G$2:G207, C$2:C207, C207))</f>
        <v>0</v>
      </c>
    </row>
    <row r="208" spans="1:8" ht="18" customHeight="1" x14ac:dyDescent="0.55000000000000004">
      <c r="A208" s="11"/>
      <c r="C208" s="12" t="str">
        <f>IF(ISBLANK(B208), "", INDEX('কাস্টমার তালিকা'!$A$4:$A$305, MATCH(B208, 'কাস্টমার তালিকা'!$B$4:$B$305, 0)))</f>
        <v/>
      </c>
      <c r="D208" s="8"/>
      <c r="E208" s="8"/>
      <c r="F208" s="13"/>
      <c r="G208" s="14"/>
      <c r="H208" s="9">
        <f>IF(ISBLANK(C208), "", SUMIFS(F$2:F208, C$2:C208, C208) - SUMIFS(G$2:G208, C$2:C208, C208))</f>
        <v>0</v>
      </c>
    </row>
    <row r="209" spans="1:8" ht="18" customHeight="1" x14ac:dyDescent="0.55000000000000004">
      <c r="A209" s="11"/>
      <c r="C209" s="12" t="str">
        <f>IF(ISBLANK(B209), "", INDEX('কাস্টমার তালিকা'!$A$4:$A$305, MATCH(B209, 'কাস্টমার তালিকা'!$B$4:$B$305, 0)))</f>
        <v/>
      </c>
      <c r="D209" s="8"/>
      <c r="E209" s="8"/>
      <c r="F209" s="13"/>
      <c r="G209" s="14"/>
      <c r="H209" s="9">
        <f>IF(ISBLANK(C209), "", SUMIFS(F$2:F209, C$2:C209, C209) - SUMIFS(G$2:G209, C$2:C209, C209))</f>
        <v>0</v>
      </c>
    </row>
    <row r="210" spans="1:8" ht="18" customHeight="1" x14ac:dyDescent="0.55000000000000004">
      <c r="A210" s="11"/>
      <c r="C210" s="12" t="str">
        <f>IF(ISBLANK(B210), "", INDEX('কাস্টমার তালিকা'!$A$4:$A$305, MATCH(B210, 'কাস্টমার তালিকা'!$B$4:$B$305, 0)))</f>
        <v/>
      </c>
      <c r="D210" s="8"/>
      <c r="E210" s="8"/>
      <c r="F210" s="13"/>
      <c r="G210" s="14"/>
      <c r="H210" s="9">
        <f>IF(ISBLANK(C210), "", SUMIFS(F$2:F210, C$2:C210, C210) - SUMIFS(G$2:G210, C$2:C210, C210))</f>
        <v>0</v>
      </c>
    </row>
    <row r="211" spans="1:8" ht="18" customHeight="1" x14ac:dyDescent="0.55000000000000004">
      <c r="A211" s="11"/>
      <c r="C211" s="12" t="str">
        <f>IF(ISBLANK(B211), "", INDEX('কাস্টমার তালিকা'!$A$4:$A$305, MATCH(B211, 'কাস্টমার তালিকা'!$B$4:$B$305, 0)))</f>
        <v/>
      </c>
      <c r="D211" s="8"/>
      <c r="E211" s="8"/>
      <c r="F211" s="13"/>
      <c r="G211" s="14"/>
      <c r="H211" s="9">
        <f>IF(ISBLANK(C211), "", SUMIFS(F$2:F211, C$2:C211, C211) - SUMIFS(G$2:G211, C$2:C211, C211))</f>
        <v>0</v>
      </c>
    </row>
    <row r="212" spans="1:8" ht="18" customHeight="1" x14ac:dyDescent="0.55000000000000004">
      <c r="A212" s="11"/>
      <c r="C212" s="12" t="str">
        <f>IF(ISBLANK(B212), "", INDEX('কাস্টমার তালিকা'!$A$4:$A$305, MATCH(B212, 'কাস্টমার তালিকা'!$B$4:$B$305, 0)))</f>
        <v/>
      </c>
      <c r="D212" s="8"/>
      <c r="E212" s="8"/>
      <c r="F212" s="13"/>
      <c r="G212" s="14"/>
      <c r="H212" s="9">
        <f>IF(ISBLANK(C212), "", SUMIFS(F$2:F212, C$2:C212, C212) - SUMIFS(G$2:G212, C$2:C212, C212))</f>
        <v>0</v>
      </c>
    </row>
    <row r="213" spans="1:8" ht="18" customHeight="1" x14ac:dyDescent="0.55000000000000004">
      <c r="A213" s="11"/>
      <c r="C213" s="12" t="str">
        <f>IF(ISBLANK(B213), "", INDEX('কাস্টমার তালিকা'!$A$4:$A$305, MATCH(B213, 'কাস্টমার তালিকা'!$B$4:$B$305, 0)))</f>
        <v/>
      </c>
      <c r="D213" s="8"/>
      <c r="E213" s="8"/>
      <c r="F213" s="13"/>
      <c r="G213" s="14"/>
      <c r="H213" s="9">
        <f>IF(ISBLANK(C213), "", SUMIFS(F$2:F213, C$2:C213, C213) - SUMIFS(G$2:G213, C$2:C213, C213))</f>
        <v>0</v>
      </c>
    </row>
    <row r="214" spans="1:8" ht="18" customHeight="1" x14ac:dyDescent="0.55000000000000004">
      <c r="A214" s="11"/>
      <c r="C214" s="12" t="str">
        <f>IF(ISBLANK(B214), "", INDEX('কাস্টমার তালিকা'!$A$4:$A$305, MATCH(B214, 'কাস্টমার তালিকা'!$B$4:$B$305, 0)))</f>
        <v/>
      </c>
      <c r="D214" s="8"/>
      <c r="E214" s="8"/>
      <c r="F214" s="13"/>
      <c r="G214" s="14"/>
      <c r="H214" s="9">
        <f>IF(ISBLANK(C214), "", SUMIFS(F$2:F214, C$2:C214, C214) - SUMIFS(G$2:G214, C$2:C214, C214))</f>
        <v>0</v>
      </c>
    </row>
    <row r="215" spans="1:8" ht="18" customHeight="1" x14ac:dyDescent="0.55000000000000004">
      <c r="A215" s="11"/>
      <c r="C215" s="12" t="str">
        <f>IF(ISBLANK(B215), "", INDEX('কাস্টমার তালিকা'!$A$4:$A$305, MATCH(B215, 'কাস্টমার তালিকা'!$B$4:$B$305, 0)))</f>
        <v/>
      </c>
      <c r="D215" s="8"/>
      <c r="E215" s="8"/>
      <c r="F215" s="13"/>
      <c r="G215" s="14"/>
      <c r="H215" s="9">
        <f>IF(ISBLANK(C215), "", SUMIFS(F$2:F215, C$2:C215, C215) - SUMIFS(G$2:G215, C$2:C215, C215))</f>
        <v>0</v>
      </c>
    </row>
    <row r="216" spans="1:8" ht="18" customHeight="1" x14ac:dyDescent="0.55000000000000004">
      <c r="A216" s="11"/>
      <c r="C216" s="12" t="str">
        <f>IF(ISBLANK(B216), "", INDEX('কাস্টমার তালিকা'!$A$4:$A$305, MATCH(B216, 'কাস্টমার তালিকা'!$B$4:$B$305, 0)))</f>
        <v/>
      </c>
      <c r="D216" s="8"/>
      <c r="E216" s="8"/>
      <c r="F216" s="13"/>
      <c r="G216" s="14"/>
      <c r="H216" s="9">
        <f>IF(ISBLANK(C216), "", SUMIFS(F$2:F216, C$2:C216, C216) - SUMIFS(G$2:G216, C$2:C216, C216))</f>
        <v>0</v>
      </c>
    </row>
    <row r="217" spans="1:8" ht="18" customHeight="1" x14ac:dyDescent="0.55000000000000004">
      <c r="A217" s="11"/>
      <c r="C217" s="12" t="str">
        <f>IF(ISBLANK(B217), "", INDEX('কাস্টমার তালিকা'!$A$4:$A$305, MATCH(B217, 'কাস্টমার তালিকা'!$B$4:$B$305, 0)))</f>
        <v/>
      </c>
      <c r="D217" s="8"/>
      <c r="E217" s="8"/>
      <c r="F217" s="13"/>
      <c r="G217" s="14"/>
      <c r="H217" s="9">
        <f>IF(ISBLANK(C217), "", SUMIFS(F$2:F217, C$2:C217, C217) - SUMIFS(G$2:G217, C$2:C217, C217))</f>
        <v>0</v>
      </c>
    </row>
    <row r="218" spans="1:8" ht="18" customHeight="1" x14ac:dyDescent="0.55000000000000004">
      <c r="A218" s="11"/>
      <c r="C218" s="12" t="str">
        <f>IF(ISBLANK(B218), "", INDEX('কাস্টমার তালিকা'!$A$4:$A$305, MATCH(B218, 'কাস্টমার তালিকা'!$B$4:$B$305, 0)))</f>
        <v/>
      </c>
      <c r="D218" s="8"/>
      <c r="E218" s="8"/>
      <c r="F218" s="13"/>
      <c r="G218" s="14"/>
      <c r="H218" s="9">
        <f>IF(ISBLANK(C218), "", SUMIFS(F$2:F218, C$2:C218, C218) - SUMIFS(G$2:G218, C$2:C218, C218))</f>
        <v>0</v>
      </c>
    </row>
    <row r="219" spans="1:8" ht="18" customHeight="1" x14ac:dyDescent="0.55000000000000004">
      <c r="A219" s="11"/>
      <c r="C219" s="12" t="str">
        <f>IF(ISBLANK(B219), "", INDEX('কাস্টমার তালিকা'!$A$4:$A$305, MATCH(B219, 'কাস্টমার তালিকা'!$B$4:$B$305, 0)))</f>
        <v/>
      </c>
      <c r="D219" s="8"/>
      <c r="E219" s="8"/>
      <c r="F219" s="13"/>
      <c r="G219" s="14"/>
      <c r="H219" s="9">
        <f>IF(ISBLANK(C219), "", SUMIFS(F$2:F219, C$2:C219, C219) - SUMIFS(G$2:G219, C$2:C219, C219))</f>
        <v>0</v>
      </c>
    </row>
    <row r="220" spans="1:8" ht="18" customHeight="1" x14ac:dyDescent="0.55000000000000004">
      <c r="A220" s="11"/>
      <c r="C220" s="12" t="str">
        <f>IF(ISBLANK(B220), "", INDEX('কাস্টমার তালিকা'!$A$4:$A$305, MATCH(B220, 'কাস্টমার তালিকা'!$B$4:$B$305, 0)))</f>
        <v/>
      </c>
      <c r="D220" s="8"/>
      <c r="E220" s="8"/>
      <c r="F220" s="13"/>
      <c r="G220" s="14"/>
      <c r="H220" s="9">
        <f>IF(ISBLANK(C220), "", SUMIFS(F$2:F220, C$2:C220, C220) - SUMIFS(G$2:G220, C$2:C220, C220))</f>
        <v>0</v>
      </c>
    </row>
    <row r="221" spans="1:8" ht="18" customHeight="1" x14ac:dyDescent="0.55000000000000004">
      <c r="A221" s="11"/>
      <c r="C221" s="12" t="str">
        <f>IF(ISBLANK(B221), "", INDEX('কাস্টমার তালিকা'!$A$4:$A$305, MATCH(B221, 'কাস্টমার তালিকা'!$B$4:$B$305, 0)))</f>
        <v/>
      </c>
      <c r="D221" s="8"/>
      <c r="E221" s="8"/>
      <c r="F221" s="13"/>
      <c r="G221" s="14"/>
      <c r="H221" s="9">
        <f>IF(ISBLANK(C221), "", SUMIFS(F$2:F221, C$2:C221, C221) - SUMIFS(G$2:G221, C$2:C221, C221))</f>
        <v>0</v>
      </c>
    </row>
    <row r="222" spans="1:8" ht="18" customHeight="1" x14ac:dyDescent="0.55000000000000004">
      <c r="A222" s="11"/>
      <c r="C222" s="12" t="str">
        <f>IF(ISBLANK(B222), "", INDEX('কাস্টমার তালিকা'!$A$4:$A$305, MATCH(B222, 'কাস্টমার তালিকা'!$B$4:$B$305, 0)))</f>
        <v/>
      </c>
      <c r="D222" s="8"/>
      <c r="E222" s="8"/>
      <c r="F222" s="13"/>
      <c r="G222" s="14"/>
      <c r="H222" s="9">
        <f>IF(ISBLANK(C222), "", SUMIFS(F$2:F222, C$2:C222, C222) - SUMIFS(G$2:G222, C$2:C222, C222))</f>
        <v>0</v>
      </c>
    </row>
    <row r="223" spans="1:8" ht="18" customHeight="1" x14ac:dyDescent="0.55000000000000004">
      <c r="A223" s="11"/>
      <c r="C223" s="12" t="str">
        <f>IF(ISBLANK(B223), "", INDEX('কাস্টমার তালিকা'!$A$4:$A$305, MATCH(B223, 'কাস্টমার তালিকা'!$B$4:$B$305, 0)))</f>
        <v/>
      </c>
      <c r="D223" s="8"/>
      <c r="E223" s="8"/>
      <c r="F223" s="13"/>
      <c r="G223" s="14"/>
      <c r="H223" s="9">
        <f>IF(ISBLANK(C223), "", SUMIFS(F$2:F223, C$2:C223, C223) - SUMIFS(G$2:G223, C$2:C223, C223))</f>
        <v>0</v>
      </c>
    </row>
    <row r="224" spans="1:8" ht="18" customHeight="1" x14ac:dyDescent="0.55000000000000004">
      <c r="A224" s="11"/>
      <c r="C224" s="12" t="str">
        <f>IF(ISBLANK(B224), "", INDEX('কাস্টমার তালিকা'!$A$4:$A$305, MATCH(B224, 'কাস্টমার তালিকা'!$B$4:$B$305, 0)))</f>
        <v/>
      </c>
      <c r="D224" s="8"/>
      <c r="E224" s="8"/>
      <c r="F224" s="13"/>
      <c r="G224" s="14"/>
      <c r="H224" s="9">
        <f>IF(ISBLANK(C224), "", SUMIFS(F$2:F224, C$2:C224, C224) - SUMIFS(G$2:G224, C$2:C224, C224))</f>
        <v>0</v>
      </c>
    </row>
    <row r="225" spans="1:8" ht="18" customHeight="1" x14ac:dyDescent="0.55000000000000004">
      <c r="A225" s="11"/>
      <c r="C225" s="12" t="str">
        <f>IF(ISBLANK(B225), "", INDEX('কাস্টমার তালিকা'!$A$4:$A$305, MATCH(B225, 'কাস্টমার তালিকা'!$B$4:$B$305, 0)))</f>
        <v/>
      </c>
      <c r="D225" s="8"/>
      <c r="E225" s="8"/>
      <c r="F225" s="13"/>
      <c r="G225" s="14"/>
      <c r="H225" s="9">
        <f>IF(ISBLANK(C225), "", SUMIFS(F$2:F225, C$2:C225, C225) - SUMIFS(G$2:G225, C$2:C225, C225))</f>
        <v>0</v>
      </c>
    </row>
    <row r="226" spans="1:8" ht="18" customHeight="1" x14ac:dyDescent="0.55000000000000004">
      <c r="A226" s="11"/>
      <c r="C226" s="12" t="str">
        <f>IF(ISBLANK(B226), "", INDEX('কাস্টমার তালিকা'!$A$4:$A$305, MATCH(B226, 'কাস্টমার তালিকা'!$B$4:$B$305, 0)))</f>
        <v/>
      </c>
      <c r="D226" s="8"/>
      <c r="E226" s="8"/>
      <c r="F226" s="13"/>
      <c r="G226" s="14"/>
      <c r="H226" s="9">
        <f>IF(ISBLANK(C226), "", SUMIFS(F$2:F226, C$2:C226, C226) - SUMIFS(G$2:G226, C$2:C226, C226))</f>
        <v>0</v>
      </c>
    </row>
    <row r="227" spans="1:8" ht="18" customHeight="1" x14ac:dyDescent="0.55000000000000004">
      <c r="A227" s="11"/>
      <c r="C227" s="12" t="str">
        <f>IF(ISBLANK(B227), "", INDEX('কাস্টমার তালিকা'!$A$4:$A$305, MATCH(B227, 'কাস্টমার তালিকা'!$B$4:$B$305, 0)))</f>
        <v/>
      </c>
      <c r="D227" s="8"/>
      <c r="E227" s="8"/>
      <c r="F227" s="13"/>
      <c r="G227" s="14"/>
      <c r="H227" s="9">
        <f>IF(ISBLANK(C227), "", SUMIFS(F$2:F227, C$2:C227, C227) - SUMIFS(G$2:G227, C$2:C227, C227))</f>
        <v>0</v>
      </c>
    </row>
    <row r="228" spans="1:8" ht="18" customHeight="1" x14ac:dyDescent="0.55000000000000004">
      <c r="A228" s="11"/>
      <c r="C228" s="12" t="str">
        <f>IF(ISBLANK(B228), "", INDEX('কাস্টমার তালিকা'!$A$4:$A$305, MATCH(B228, 'কাস্টমার তালিকা'!$B$4:$B$305, 0)))</f>
        <v/>
      </c>
      <c r="D228" s="8"/>
      <c r="E228" s="8"/>
      <c r="F228" s="13"/>
      <c r="G228" s="14"/>
      <c r="H228" s="9">
        <f>IF(ISBLANK(C228), "", SUMIFS(F$2:F228, C$2:C228, C228) - SUMIFS(G$2:G228, C$2:C228, C228))</f>
        <v>0</v>
      </c>
    </row>
    <row r="229" spans="1:8" ht="18" customHeight="1" x14ac:dyDescent="0.55000000000000004">
      <c r="A229" s="11"/>
      <c r="C229" s="12" t="str">
        <f>IF(ISBLANK(B229), "", INDEX('কাস্টমার তালিকা'!$A$4:$A$305, MATCH(B229, 'কাস্টমার তালিকা'!$B$4:$B$305, 0)))</f>
        <v/>
      </c>
      <c r="D229" s="8"/>
      <c r="E229" s="8"/>
      <c r="F229" s="13"/>
      <c r="G229" s="14"/>
      <c r="H229" s="9">
        <f>IF(ISBLANK(C229), "", SUMIFS(F$2:F229, C$2:C229, C229) - SUMIFS(G$2:G229, C$2:C229, C229))</f>
        <v>0</v>
      </c>
    </row>
    <row r="230" spans="1:8" ht="18" customHeight="1" x14ac:dyDescent="0.55000000000000004">
      <c r="A230" s="11"/>
      <c r="C230" s="12" t="str">
        <f>IF(ISBLANK(B230), "", INDEX('কাস্টমার তালিকা'!$A$4:$A$305, MATCH(B230, 'কাস্টমার তালিকা'!$B$4:$B$305, 0)))</f>
        <v/>
      </c>
      <c r="D230" s="8"/>
      <c r="E230" s="8"/>
      <c r="F230" s="13"/>
      <c r="G230" s="14"/>
      <c r="H230" s="9">
        <f>IF(ISBLANK(C230), "", SUMIFS(F$2:F230, C$2:C230, C230) - SUMIFS(G$2:G230, C$2:C230, C230))</f>
        <v>0</v>
      </c>
    </row>
    <row r="231" spans="1:8" ht="18" customHeight="1" x14ac:dyDescent="0.55000000000000004">
      <c r="A231" s="11"/>
      <c r="C231" s="12" t="str">
        <f>IF(ISBLANK(B231), "", INDEX('কাস্টমার তালিকা'!$A$4:$A$305, MATCH(B231, 'কাস্টমার তালিকা'!$B$4:$B$305, 0)))</f>
        <v/>
      </c>
      <c r="D231" s="8"/>
      <c r="E231" s="8"/>
      <c r="F231" s="13"/>
      <c r="G231" s="14"/>
      <c r="H231" s="9">
        <f>IF(ISBLANK(C231), "", SUMIFS(F$2:F231, C$2:C231, C231) - SUMIFS(G$2:G231, C$2:C231, C231))</f>
        <v>0</v>
      </c>
    </row>
    <row r="232" spans="1:8" ht="18" customHeight="1" x14ac:dyDescent="0.55000000000000004">
      <c r="A232" s="11"/>
      <c r="C232" s="12" t="str">
        <f>IF(ISBLANK(B232), "", INDEX('কাস্টমার তালিকা'!$A$4:$A$305, MATCH(B232, 'কাস্টমার তালিকা'!$B$4:$B$305, 0)))</f>
        <v/>
      </c>
      <c r="D232" s="8"/>
      <c r="E232" s="8"/>
      <c r="F232" s="13"/>
      <c r="G232" s="14"/>
      <c r="H232" s="9">
        <f>IF(ISBLANK(C232), "", SUMIFS(F$2:F232, C$2:C232, C232) - SUMIFS(G$2:G232, C$2:C232, C232))</f>
        <v>0</v>
      </c>
    </row>
    <row r="233" spans="1:8" ht="18" customHeight="1" x14ac:dyDescent="0.55000000000000004">
      <c r="A233" s="11"/>
      <c r="C233" s="12" t="str">
        <f>IF(ISBLANK(B233), "", INDEX('কাস্টমার তালিকা'!$A$4:$A$305, MATCH(B233, 'কাস্টমার তালিকা'!$B$4:$B$305, 0)))</f>
        <v/>
      </c>
      <c r="D233" s="8"/>
      <c r="E233" s="8"/>
      <c r="F233" s="13"/>
      <c r="G233" s="14"/>
      <c r="H233" s="9">
        <f>IF(ISBLANK(C233), "", SUMIFS(F$2:F233, C$2:C233, C233) - SUMIFS(G$2:G233, C$2:C233, C233))</f>
        <v>0</v>
      </c>
    </row>
    <row r="234" spans="1:8" ht="18" customHeight="1" x14ac:dyDescent="0.55000000000000004">
      <c r="A234" s="11"/>
      <c r="C234" s="12" t="str">
        <f>IF(ISBLANK(B234), "", INDEX('কাস্টমার তালিকা'!$A$4:$A$305, MATCH(B234, 'কাস্টমার তালিকা'!$B$4:$B$305, 0)))</f>
        <v/>
      </c>
      <c r="D234" s="8"/>
      <c r="E234" s="8"/>
      <c r="F234" s="13"/>
      <c r="G234" s="14"/>
      <c r="H234" s="9">
        <f>IF(ISBLANK(C234), "", SUMIFS(F$2:F234, C$2:C234, C234) - SUMIFS(G$2:G234, C$2:C234, C234))</f>
        <v>0</v>
      </c>
    </row>
    <row r="235" spans="1:8" ht="18" customHeight="1" x14ac:dyDescent="0.55000000000000004">
      <c r="A235" s="11"/>
      <c r="C235" s="12" t="str">
        <f>IF(ISBLANK(B235), "", INDEX('কাস্টমার তালিকা'!$A$4:$A$305, MATCH(B235, 'কাস্টমার তালিকা'!$B$4:$B$305, 0)))</f>
        <v/>
      </c>
      <c r="D235" s="8"/>
      <c r="E235" s="8"/>
      <c r="F235" s="13"/>
      <c r="G235" s="14"/>
      <c r="H235" s="9">
        <f>IF(ISBLANK(C235), "", SUMIFS(F$2:F235, C$2:C235, C235) - SUMIFS(G$2:G235, C$2:C235, C235))</f>
        <v>0</v>
      </c>
    </row>
    <row r="236" spans="1:8" ht="18" customHeight="1" x14ac:dyDescent="0.55000000000000004">
      <c r="A236" s="11"/>
      <c r="C236" s="12" t="str">
        <f>IF(ISBLANK(B236), "", INDEX('কাস্টমার তালিকা'!$A$4:$A$305, MATCH(B236, 'কাস্টমার তালিকা'!$B$4:$B$305, 0)))</f>
        <v/>
      </c>
      <c r="D236" s="8"/>
      <c r="E236" s="8"/>
      <c r="F236" s="13"/>
      <c r="G236" s="14"/>
      <c r="H236" s="9">
        <f>IF(ISBLANK(C236), "", SUMIFS(F$2:F236, C$2:C236, C236) - SUMIFS(G$2:G236, C$2:C236, C236))</f>
        <v>0</v>
      </c>
    </row>
    <row r="237" spans="1:8" ht="18" customHeight="1" x14ac:dyDescent="0.55000000000000004">
      <c r="A237" s="11"/>
      <c r="C237" s="12" t="str">
        <f>IF(ISBLANK(B237), "", INDEX('কাস্টমার তালিকা'!$A$4:$A$305, MATCH(B237, 'কাস্টমার তালিকা'!$B$4:$B$305, 0)))</f>
        <v/>
      </c>
      <c r="D237" s="8"/>
      <c r="E237" s="8"/>
      <c r="F237" s="13"/>
      <c r="G237" s="14"/>
      <c r="H237" s="9">
        <f>IF(ISBLANK(C237), "", SUMIFS(F$2:F237, C$2:C237, C237) - SUMIFS(G$2:G237, C$2:C237, C237))</f>
        <v>0</v>
      </c>
    </row>
    <row r="238" spans="1:8" ht="18" customHeight="1" x14ac:dyDescent="0.55000000000000004">
      <c r="A238" s="11"/>
      <c r="C238" s="12" t="str">
        <f>IF(ISBLANK(B238), "", INDEX('কাস্টমার তালিকা'!$A$4:$A$305, MATCH(B238, 'কাস্টমার তালিকা'!$B$4:$B$305, 0)))</f>
        <v/>
      </c>
      <c r="D238" s="8"/>
      <c r="E238" s="8"/>
      <c r="F238" s="13"/>
      <c r="G238" s="14"/>
      <c r="H238" s="9">
        <f>IF(ISBLANK(C238), "", SUMIFS(F$2:F238, C$2:C238, C238) - SUMIFS(G$2:G238, C$2:C238, C238))</f>
        <v>0</v>
      </c>
    </row>
    <row r="239" spans="1:8" ht="18" customHeight="1" x14ac:dyDescent="0.55000000000000004">
      <c r="A239" s="11"/>
      <c r="C239" s="12" t="str">
        <f>IF(ISBLANK(B239), "", INDEX('কাস্টমার তালিকা'!$A$4:$A$305, MATCH(B239, 'কাস্টমার তালিকা'!$B$4:$B$305, 0)))</f>
        <v/>
      </c>
      <c r="D239" s="8"/>
      <c r="E239" s="8"/>
      <c r="F239" s="13"/>
      <c r="G239" s="14"/>
      <c r="H239" s="9">
        <f>IF(ISBLANK(C239), "", SUMIFS(F$2:F239, C$2:C239, C239) - SUMIFS(G$2:G239, C$2:C239, C239))</f>
        <v>0</v>
      </c>
    </row>
    <row r="240" spans="1:8" ht="18" customHeight="1" x14ac:dyDescent="0.55000000000000004">
      <c r="A240" s="11"/>
      <c r="C240" s="12" t="str">
        <f>IF(ISBLANK(B240), "", INDEX('কাস্টমার তালিকা'!$A$4:$A$305, MATCH(B240, 'কাস্টমার তালিকা'!$B$4:$B$305, 0)))</f>
        <v/>
      </c>
      <c r="D240" s="8"/>
      <c r="E240" s="8"/>
      <c r="F240" s="13"/>
      <c r="G240" s="14"/>
      <c r="H240" s="9">
        <f>IF(ISBLANK(C240), "", SUMIFS(F$2:F240, C$2:C240, C240) - SUMIFS(G$2:G240, C$2:C240, C240))</f>
        <v>0</v>
      </c>
    </row>
    <row r="241" spans="1:8" ht="18" customHeight="1" x14ac:dyDescent="0.55000000000000004">
      <c r="A241" s="11"/>
      <c r="C241" s="12" t="str">
        <f>IF(ISBLANK(B241), "", INDEX('কাস্টমার তালিকা'!$A$4:$A$305, MATCH(B241, 'কাস্টমার তালিকা'!$B$4:$B$305, 0)))</f>
        <v/>
      </c>
      <c r="D241" s="8"/>
      <c r="E241" s="8"/>
      <c r="F241" s="13"/>
      <c r="G241" s="14"/>
      <c r="H241" s="9">
        <f>IF(ISBLANK(C241), "", SUMIFS(F$2:F241, C$2:C241, C241) - SUMIFS(G$2:G241, C$2:C241, C241))</f>
        <v>0</v>
      </c>
    </row>
    <row r="242" spans="1:8" ht="18" customHeight="1" x14ac:dyDescent="0.55000000000000004">
      <c r="A242" s="11"/>
      <c r="C242" s="12" t="str">
        <f>IF(ISBLANK(B242), "", INDEX('কাস্টমার তালিকা'!$A$4:$A$305, MATCH(B242, 'কাস্টমার তালিকা'!$B$4:$B$305, 0)))</f>
        <v/>
      </c>
      <c r="D242" s="8"/>
      <c r="E242" s="8"/>
      <c r="F242" s="13"/>
      <c r="G242" s="14"/>
      <c r="H242" s="9">
        <f>IF(ISBLANK(C242), "", SUMIFS(F$2:F242, C$2:C242, C242) - SUMIFS(G$2:G242, C$2:C242, C242))</f>
        <v>0</v>
      </c>
    </row>
    <row r="243" spans="1:8" ht="18" customHeight="1" x14ac:dyDescent="0.55000000000000004">
      <c r="A243" s="11"/>
      <c r="C243" s="12" t="str">
        <f>IF(ISBLANK(B243), "", INDEX('কাস্টমার তালিকা'!$A$4:$A$305, MATCH(B243, 'কাস্টমার তালিকা'!$B$4:$B$305, 0)))</f>
        <v/>
      </c>
      <c r="D243" s="8"/>
      <c r="E243" s="8"/>
      <c r="F243" s="13"/>
      <c r="G243" s="14"/>
      <c r="H243" s="9">
        <f>IF(ISBLANK(C243), "", SUMIFS(F$2:F243, C$2:C243, C243) - SUMIFS(G$2:G243, C$2:C243, C243))</f>
        <v>0</v>
      </c>
    </row>
    <row r="244" spans="1:8" ht="18" customHeight="1" x14ac:dyDescent="0.55000000000000004">
      <c r="A244" s="11"/>
      <c r="C244" s="12" t="str">
        <f>IF(ISBLANK(B244), "", INDEX('কাস্টমার তালিকা'!$A$4:$A$305, MATCH(B244, 'কাস্টমার তালিকা'!$B$4:$B$305, 0)))</f>
        <v/>
      </c>
      <c r="D244" s="8"/>
      <c r="E244" s="8"/>
      <c r="F244" s="13"/>
      <c r="G244" s="14"/>
      <c r="H244" s="9">
        <f>IF(ISBLANK(C244), "", SUMIFS(F$2:F244, C$2:C244, C244) - SUMIFS(G$2:G244, C$2:C244, C244))</f>
        <v>0</v>
      </c>
    </row>
    <row r="245" spans="1:8" ht="18" customHeight="1" x14ac:dyDescent="0.55000000000000004">
      <c r="A245" s="11"/>
      <c r="C245" s="12" t="str">
        <f>IF(ISBLANK(B245), "", INDEX('কাস্টমার তালিকা'!$A$4:$A$305, MATCH(B245, 'কাস্টমার তালিকা'!$B$4:$B$305, 0)))</f>
        <v/>
      </c>
      <c r="D245" s="8"/>
      <c r="E245" s="8"/>
      <c r="F245" s="13"/>
      <c r="G245" s="14"/>
      <c r="H245" s="9">
        <f>IF(ISBLANK(C245), "", SUMIFS(F$2:F245, C$2:C245, C245) - SUMIFS(G$2:G245, C$2:C245, C245))</f>
        <v>0</v>
      </c>
    </row>
    <row r="246" spans="1:8" ht="18" customHeight="1" x14ac:dyDescent="0.55000000000000004">
      <c r="A246" s="11"/>
      <c r="C246" s="12" t="str">
        <f>IF(ISBLANK(B246), "", INDEX('কাস্টমার তালিকা'!$A$4:$A$305, MATCH(B246, 'কাস্টমার তালিকা'!$B$4:$B$305, 0)))</f>
        <v/>
      </c>
      <c r="D246" s="8"/>
      <c r="E246" s="8"/>
      <c r="F246" s="13"/>
      <c r="G246" s="14"/>
      <c r="H246" s="9">
        <f>IF(ISBLANK(C246), "", SUMIFS(F$2:F246, C$2:C246, C246) - SUMIFS(G$2:G246, C$2:C246, C246))</f>
        <v>0</v>
      </c>
    </row>
    <row r="247" spans="1:8" ht="18" customHeight="1" x14ac:dyDescent="0.55000000000000004">
      <c r="A247" s="11"/>
      <c r="C247" s="12" t="str">
        <f>IF(ISBLANK(B247), "", INDEX('কাস্টমার তালিকা'!$A$4:$A$305, MATCH(B247, 'কাস্টমার তালিকা'!$B$4:$B$305, 0)))</f>
        <v/>
      </c>
      <c r="D247" s="8"/>
      <c r="E247" s="8"/>
      <c r="F247" s="13"/>
      <c r="G247" s="14"/>
      <c r="H247" s="9">
        <f>IF(ISBLANK(C247), "", SUMIFS(F$2:F247, C$2:C247, C247) - SUMIFS(G$2:G247, C$2:C247, C247))</f>
        <v>0</v>
      </c>
    </row>
    <row r="248" spans="1:8" ht="18" customHeight="1" x14ac:dyDescent="0.55000000000000004">
      <c r="A248" s="11"/>
      <c r="C248" s="12" t="str">
        <f>IF(ISBLANK(B248), "", INDEX('কাস্টমার তালিকা'!$A$4:$A$305, MATCH(B248, 'কাস্টমার তালিকা'!$B$4:$B$305, 0)))</f>
        <v/>
      </c>
      <c r="D248" s="8"/>
      <c r="E248" s="8"/>
      <c r="F248" s="13"/>
      <c r="G248" s="14"/>
      <c r="H248" s="9">
        <f>IF(ISBLANK(C248), "", SUMIFS(F$2:F248, C$2:C248, C248) - SUMIFS(G$2:G248, C$2:C248, C248))</f>
        <v>0</v>
      </c>
    </row>
    <row r="249" spans="1:8" ht="18" customHeight="1" x14ac:dyDescent="0.55000000000000004">
      <c r="A249" s="11"/>
      <c r="C249" s="12" t="str">
        <f>IF(ISBLANK(B249), "", INDEX('কাস্টমার তালিকা'!$A$4:$A$305, MATCH(B249, 'কাস্টমার তালিকা'!$B$4:$B$305, 0)))</f>
        <v/>
      </c>
      <c r="D249" s="8"/>
      <c r="E249" s="8"/>
      <c r="F249" s="13"/>
      <c r="G249" s="14"/>
      <c r="H249" s="9">
        <f>IF(ISBLANK(C249), "", SUMIFS(F$2:F249, C$2:C249, C249) - SUMIFS(G$2:G249, C$2:C249, C249))</f>
        <v>0</v>
      </c>
    </row>
    <row r="250" spans="1:8" ht="18" customHeight="1" x14ac:dyDescent="0.55000000000000004">
      <c r="A250" s="11"/>
      <c r="C250" s="12" t="str">
        <f>IF(ISBLANK(B250), "", INDEX('কাস্টমার তালিকা'!$A$4:$A$305, MATCH(B250, 'কাস্টমার তালিকা'!$B$4:$B$305, 0)))</f>
        <v/>
      </c>
      <c r="D250" s="8"/>
      <c r="E250" s="8"/>
      <c r="F250" s="13"/>
      <c r="G250" s="14"/>
      <c r="H250" s="9">
        <f>IF(ISBLANK(C250), "", SUMIFS(F$2:F250, C$2:C250, C250) - SUMIFS(G$2:G250, C$2:C250, C250))</f>
        <v>0</v>
      </c>
    </row>
    <row r="251" spans="1:8" ht="18" customHeight="1" x14ac:dyDescent="0.55000000000000004">
      <c r="A251" s="11"/>
      <c r="C251" s="12" t="str">
        <f>IF(ISBLANK(B251), "", INDEX('কাস্টমার তালিকা'!$A$4:$A$305, MATCH(B251, 'কাস্টমার তালিকা'!$B$4:$B$305, 0)))</f>
        <v/>
      </c>
      <c r="D251" s="8"/>
      <c r="E251" s="8"/>
      <c r="F251" s="13"/>
      <c r="G251" s="14"/>
      <c r="H251" s="9">
        <f>IF(ISBLANK(C251), "", SUMIFS(F$2:F251, C$2:C251, C251) - SUMIFS(G$2:G251, C$2:C251, C251))</f>
        <v>0</v>
      </c>
    </row>
    <row r="252" spans="1:8" ht="18" customHeight="1" x14ac:dyDescent="0.55000000000000004">
      <c r="A252" s="11"/>
      <c r="C252" s="12" t="str">
        <f>IF(ISBLANK(B252), "", INDEX('কাস্টমার তালিকা'!$A$4:$A$305, MATCH(B252, 'কাস্টমার তালিকা'!$B$4:$B$305, 0)))</f>
        <v/>
      </c>
      <c r="D252" s="8"/>
      <c r="E252" s="8"/>
      <c r="F252" s="13"/>
      <c r="G252" s="14"/>
      <c r="H252" s="9">
        <f>IF(ISBLANK(C252), "", SUMIFS(F$2:F252, C$2:C252, C252) - SUMIFS(G$2:G252, C$2:C252, C252))</f>
        <v>0</v>
      </c>
    </row>
    <row r="253" spans="1:8" ht="18" customHeight="1" x14ac:dyDescent="0.55000000000000004">
      <c r="A253" s="11"/>
      <c r="C253" s="12" t="str">
        <f>IF(ISBLANK(B253), "", INDEX('কাস্টমার তালিকা'!$A$4:$A$305, MATCH(B253, 'কাস্টমার তালিকা'!$B$4:$B$305, 0)))</f>
        <v/>
      </c>
      <c r="D253" s="8"/>
      <c r="E253" s="8"/>
      <c r="F253" s="13"/>
      <c r="G253" s="14"/>
      <c r="H253" s="9">
        <f>IF(ISBLANK(C253), "", SUMIFS(F$2:F253, C$2:C253, C253) - SUMIFS(G$2:G253, C$2:C253, C253))</f>
        <v>0</v>
      </c>
    </row>
    <row r="254" spans="1:8" ht="18" customHeight="1" x14ac:dyDescent="0.55000000000000004">
      <c r="A254" s="11"/>
      <c r="C254" s="12" t="str">
        <f>IF(ISBLANK(B254), "", INDEX('কাস্টমার তালিকা'!$A$4:$A$305, MATCH(B254, 'কাস্টমার তালিকা'!$B$4:$B$305, 0)))</f>
        <v/>
      </c>
      <c r="D254" s="8"/>
      <c r="E254" s="8"/>
      <c r="F254" s="13"/>
      <c r="G254" s="14"/>
      <c r="H254" s="9">
        <f>IF(ISBLANK(C254), "", SUMIFS(F$2:F254, C$2:C254, C254) - SUMIFS(G$2:G254, C$2:C254, C254))</f>
        <v>0</v>
      </c>
    </row>
    <row r="255" spans="1:8" ht="18" customHeight="1" x14ac:dyDescent="0.55000000000000004">
      <c r="A255" s="11"/>
      <c r="C255" s="12" t="str">
        <f>IF(ISBLANK(B255), "", INDEX('কাস্টমার তালিকা'!$A$4:$A$305, MATCH(B255, 'কাস্টমার তালিকা'!$B$4:$B$305, 0)))</f>
        <v/>
      </c>
      <c r="D255" s="8"/>
      <c r="E255" s="8"/>
      <c r="F255" s="13"/>
      <c r="G255" s="14"/>
      <c r="H255" s="9">
        <f>IF(ISBLANK(C255), "", SUMIFS(F$2:F255, C$2:C255, C255) - SUMIFS(G$2:G255, C$2:C255, C255))</f>
        <v>0</v>
      </c>
    </row>
    <row r="256" spans="1:8" ht="18" customHeight="1" x14ac:dyDescent="0.55000000000000004">
      <c r="A256" s="11"/>
      <c r="C256" s="12" t="str">
        <f>IF(ISBLANK(B256), "", INDEX('কাস্টমার তালিকা'!$A$4:$A$305, MATCH(B256, 'কাস্টমার তালিকা'!$B$4:$B$305, 0)))</f>
        <v/>
      </c>
      <c r="D256" s="8"/>
      <c r="E256" s="8"/>
      <c r="F256" s="13"/>
      <c r="G256" s="14"/>
      <c r="H256" s="9">
        <f>IF(ISBLANK(C256), "", SUMIFS(F$2:F256, C$2:C256, C256) - SUMIFS(G$2:G256, C$2:C256, C256))</f>
        <v>0</v>
      </c>
    </row>
    <row r="257" spans="1:8" ht="18" customHeight="1" x14ac:dyDescent="0.55000000000000004">
      <c r="A257" s="11"/>
      <c r="C257" s="12" t="str">
        <f>IF(ISBLANK(B257), "", INDEX('কাস্টমার তালিকা'!$A$4:$A$305, MATCH(B257, 'কাস্টমার তালিকা'!$B$4:$B$305, 0)))</f>
        <v/>
      </c>
      <c r="D257" s="8"/>
      <c r="E257" s="8"/>
      <c r="F257" s="13"/>
      <c r="G257" s="14"/>
      <c r="H257" s="9">
        <f>IF(ISBLANK(C257), "", SUMIFS(F$2:F257, C$2:C257, C257) - SUMIFS(G$2:G257, C$2:C257, C257))</f>
        <v>0</v>
      </c>
    </row>
    <row r="258" spans="1:8" ht="18" customHeight="1" x14ac:dyDescent="0.55000000000000004">
      <c r="A258" s="11"/>
      <c r="C258" s="12" t="str">
        <f>IF(ISBLANK(B258), "", INDEX('কাস্টমার তালিকা'!$A$4:$A$305, MATCH(B258, 'কাস্টমার তালিকা'!$B$4:$B$305, 0)))</f>
        <v/>
      </c>
      <c r="D258" s="8"/>
      <c r="E258" s="8"/>
      <c r="F258" s="13"/>
      <c r="G258" s="14"/>
      <c r="H258" s="9">
        <f>IF(ISBLANK(C258), "", SUMIFS(F$2:F258, C$2:C258, C258) - SUMIFS(G$2:G258, C$2:C258, C258))</f>
        <v>0</v>
      </c>
    </row>
    <row r="259" spans="1:8" ht="18" customHeight="1" x14ac:dyDescent="0.55000000000000004">
      <c r="A259" s="11"/>
      <c r="C259" s="12" t="str">
        <f>IF(ISBLANK(B259), "", INDEX('কাস্টমার তালিকা'!$A$4:$A$305, MATCH(B259, 'কাস্টমার তালিকা'!$B$4:$B$305, 0)))</f>
        <v/>
      </c>
      <c r="D259" s="8"/>
      <c r="E259" s="8"/>
      <c r="F259" s="13"/>
      <c r="G259" s="14"/>
      <c r="H259" s="9">
        <f>IF(ISBLANK(C259), "", SUMIFS(F$2:F259, C$2:C259, C259) - SUMIFS(G$2:G259, C$2:C259, C259))</f>
        <v>0</v>
      </c>
    </row>
    <row r="260" spans="1:8" ht="18" customHeight="1" x14ac:dyDescent="0.55000000000000004">
      <c r="A260" s="11"/>
      <c r="C260" s="12" t="str">
        <f>IF(ISBLANK(B260), "", INDEX('কাস্টমার তালিকা'!$A$4:$A$305, MATCH(B260, 'কাস্টমার তালিকা'!$B$4:$B$305, 0)))</f>
        <v/>
      </c>
      <c r="D260" s="8"/>
      <c r="E260" s="8"/>
      <c r="F260" s="13"/>
      <c r="G260" s="14"/>
      <c r="H260" s="9">
        <f>IF(ISBLANK(C260), "", SUMIFS(F$2:F260, C$2:C260, C260) - SUMIFS(G$2:G260, C$2:C260, C260))</f>
        <v>0</v>
      </c>
    </row>
    <row r="261" spans="1:8" ht="18" customHeight="1" x14ac:dyDescent="0.55000000000000004">
      <c r="A261" s="11"/>
      <c r="C261" s="12" t="str">
        <f>IF(ISBLANK(B261), "", INDEX('কাস্টমার তালিকা'!$A$4:$A$305, MATCH(B261, 'কাস্টমার তালিকা'!$B$4:$B$305, 0)))</f>
        <v/>
      </c>
      <c r="D261" s="8"/>
      <c r="E261" s="8"/>
      <c r="F261" s="13"/>
      <c r="G261" s="14"/>
      <c r="H261" s="9">
        <f>IF(ISBLANK(C261), "", SUMIFS(F$2:F261, C$2:C261, C261) - SUMIFS(G$2:G261, C$2:C261, C261))</f>
        <v>0</v>
      </c>
    </row>
    <row r="262" spans="1:8" ht="18" customHeight="1" x14ac:dyDescent="0.55000000000000004">
      <c r="A262" s="11"/>
      <c r="C262" s="12" t="str">
        <f>IF(ISBLANK(B262), "", INDEX('কাস্টমার তালিকা'!$A$4:$A$305, MATCH(B262, 'কাস্টমার তালিকা'!$B$4:$B$305, 0)))</f>
        <v/>
      </c>
      <c r="D262" s="8"/>
      <c r="E262" s="8"/>
      <c r="F262" s="13"/>
      <c r="G262" s="14"/>
      <c r="H262" s="9">
        <f>IF(ISBLANK(C262), "", SUMIFS(F$2:F262, C$2:C262, C262) - SUMIFS(G$2:G262, C$2:C262, C262))</f>
        <v>0</v>
      </c>
    </row>
    <row r="263" spans="1:8" ht="18" customHeight="1" x14ac:dyDescent="0.55000000000000004">
      <c r="A263" s="11"/>
      <c r="C263" s="12" t="str">
        <f>IF(ISBLANK(B263), "", INDEX('কাস্টমার তালিকা'!$A$4:$A$305, MATCH(B263, 'কাস্টমার তালিকা'!$B$4:$B$305, 0)))</f>
        <v/>
      </c>
      <c r="D263" s="8"/>
      <c r="E263" s="8"/>
      <c r="F263" s="13"/>
      <c r="G263" s="14"/>
      <c r="H263" s="9">
        <f>IF(ISBLANK(C263), "", SUMIFS(F$2:F263, C$2:C263, C263) - SUMIFS(G$2:G263, C$2:C263, C263))</f>
        <v>0</v>
      </c>
    </row>
    <row r="264" spans="1:8" ht="18" customHeight="1" x14ac:dyDescent="0.55000000000000004">
      <c r="A264" s="11"/>
      <c r="C264" s="12" t="str">
        <f>IF(ISBLANK(B264), "", INDEX('কাস্টমার তালিকা'!$A$4:$A$305, MATCH(B264, 'কাস্টমার তালিকা'!$B$4:$B$305, 0)))</f>
        <v/>
      </c>
      <c r="D264" s="8"/>
      <c r="E264" s="8"/>
      <c r="F264" s="13"/>
      <c r="G264" s="14"/>
      <c r="H264" s="9">
        <f>IF(ISBLANK(C264), "", SUMIFS(F$2:F264, C$2:C264, C264) - SUMIFS(G$2:G264, C$2:C264, C264))</f>
        <v>0</v>
      </c>
    </row>
    <row r="265" spans="1:8" ht="18" customHeight="1" x14ac:dyDescent="0.55000000000000004">
      <c r="A265" s="11"/>
      <c r="C265" s="12" t="str">
        <f>IF(ISBLANK(B265), "", INDEX('কাস্টমার তালিকা'!$A$4:$A$305, MATCH(B265, 'কাস্টমার তালিকা'!$B$4:$B$305, 0)))</f>
        <v/>
      </c>
      <c r="D265" s="8"/>
      <c r="E265" s="8"/>
      <c r="F265" s="13"/>
      <c r="G265" s="14"/>
      <c r="H265" s="9">
        <f>IF(ISBLANK(C265), "", SUMIFS(F$2:F265, C$2:C265, C265) - SUMIFS(G$2:G265, C$2:C265, C265))</f>
        <v>0</v>
      </c>
    </row>
    <row r="266" spans="1:8" ht="18" customHeight="1" x14ac:dyDescent="0.55000000000000004">
      <c r="A266" s="11"/>
      <c r="C266" s="12" t="str">
        <f>IF(ISBLANK(B266), "", INDEX('কাস্টমার তালিকা'!$A$4:$A$305, MATCH(B266, 'কাস্টমার তালিকা'!$B$4:$B$305, 0)))</f>
        <v/>
      </c>
      <c r="D266" s="8"/>
      <c r="E266" s="8"/>
      <c r="F266" s="13"/>
      <c r="G266" s="14"/>
      <c r="H266" s="9">
        <f>IF(ISBLANK(C266), "", SUMIFS(F$2:F266, C$2:C266, C266) - SUMIFS(G$2:G266, C$2:C266, C266))</f>
        <v>0</v>
      </c>
    </row>
    <row r="267" spans="1:8" ht="18" customHeight="1" x14ac:dyDescent="0.55000000000000004">
      <c r="A267" s="11"/>
      <c r="C267" s="12" t="str">
        <f>IF(ISBLANK(B267), "", INDEX('কাস্টমার তালিকা'!$A$4:$A$305, MATCH(B267, 'কাস্টমার তালিকা'!$B$4:$B$305, 0)))</f>
        <v/>
      </c>
      <c r="D267" s="8"/>
      <c r="E267" s="8"/>
      <c r="F267" s="13"/>
      <c r="G267" s="14"/>
      <c r="H267" s="9">
        <f>IF(ISBLANK(C267), "", SUMIFS(F$2:F267, C$2:C267, C267) - SUMIFS(G$2:G267, C$2:C267, C267))</f>
        <v>0</v>
      </c>
    </row>
    <row r="268" spans="1:8" ht="18" customHeight="1" x14ac:dyDescent="0.55000000000000004">
      <c r="A268" s="11"/>
      <c r="C268" s="12" t="str">
        <f>IF(ISBLANK(B268), "", INDEX('কাস্টমার তালিকা'!$A$4:$A$305, MATCH(B268, 'কাস্টমার তালিকা'!$B$4:$B$305, 0)))</f>
        <v/>
      </c>
      <c r="D268" s="8"/>
      <c r="E268" s="8"/>
      <c r="F268" s="13"/>
      <c r="G268" s="14"/>
      <c r="H268" s="9">
        <f>IF(ISBLANK(C268), "", SUMIFS(F$2:F268, C$2:C268, C268) - SUMIFS(G$2:G268, C$2:C268, C268))</f>
        <v>0</v>
      </c>
    </row>
    <row r="269" spans="1:8" ht="18" customHeight="1" x14ac:dyDescent="0.55000000000000004">
      <c r="A269" s="11"/>
      <c r="C269" s="12" t="str">
        <f>IF(ISBLANK(B269), "", INDEX('কাস্টমার তালিকা'!$A$4:$A$305, MATCH(B269, 'কাস্টমার তালিকা'!$B$4:$B$305, 0)))</f>
        <v/>
      </c>
      <c r="D269" s="8"/>
      <c r="E269" s="8"/>
      <c r="F269" s="13"/>
      <c r="G269" s="14"/>
      <c r="H269" s="9">
        <f>IF(ISBLANK(C269), "", SUMIFS(F$2:F269, C$2:C269, C269) - SUMIFS(G$2:G269, C$2:C269, C269))</f>
        <v>0</v>
      </c>
    </row>
    <row r="270" spans="1:8" ht="18" customHeight="1" x14ac:dyDescent="0.55000000000000004">
      <c r="A270" s="11"/>
      <c r="C270" s="12" t="str">
        <f>IF(ISBLANK(B270), "", INDEX('কাস্টমার তালিকা'!$A$4:$A$305, MATCH(B270, 'কাস্টমার তালিকা'!$B$4:$B$305, 0)))</f>
        <v/>
      </c>
      <c r="D270" s="8"/>
      <c r="E270" s="8"/>
      <c r="F270" s="13"/>
      <c r="G270" s="14"/>
      <c r="H270" s="9">
        <f>IF(ISBLANK(C270), "", SUMIFS(F$2:F270, C$2:C270, C270) - SUMIFS(G$2:G270, C$2:C270, C270))</f>
        <v>0</v>
      </c>
    </row>
    <row r="271" spans="1:8" ht="18" customHeight="1" x14ac:dyDescent="0.55000000000000004">
      <c r="A271" s="11"/>
      <c r="C271" s="12" t="str">
        <f>IF(ISBLANK(B271), "", INDEX('কাস্টমার তালিকা'!$A$4:$A$305, MATCH(B271, 'কাস্টমার তালিকা'!$B$4:$B$305, 0)))</f>
        <v/>
      </c>
      <c r="D271" s="8"/>
      <c r="E271" s="8"/>
      <c r="F271" s="13"/>
      <c r="G271" s="14"/>
      <c r="H271" s="9">
        <f>IF(ISBLANK(C271), "", SUMIFS(F$2:F271, C$2:C271, C271) - SUMIFS(G$2:G271, C$2:C271, C271))</f>
        <v>0</v>
      </c>
    </row>
    <row r="272" spans="1:8" ht="18" customHeight="1" x14ac:dyDescent="0.55000000000000004">
      <c r="A272" s="11"/>
      <c r="C272" s="12" t="str">
        <f>IF(ISBLANK(B272), "", INDEX('কাস্টমার তালিকা'!$A$4:$A$305, MATCH(B272, 'কাস্টমার তালিকা'!$B$4:$B$305, 0)))</f>
        <v/>
      </c>
      <c r="D272" s="8"/>
      <c r="E272" s="8"/>
      <c r="F272" s="13"/>
      <c r="G272" s="14"/>
      <c r="H272" s="9">
        <f>IF(ISBLANK(C272), "", SUMIFS(F$2:F272, C$2:C272, C272) - SUMIFS(G$2:G272, C$2:C272, C272))</f>
        <v>0</v>
      </c>
    </row>
    <row r="273" spans="1:8" ht="18" customHeight="1" x14ac:dyDescent="0.55000000000000004">
      <c r="A273" s="11"/>
      <c r="C273" s="12" t="str">
        <f>IF(ISBLANK(B273), "", INDEX('কাস্টমার তালিকা'!$A$4:$A$305, MATCH(B273, 'কাস্টমার তালিকা'!$B$4:$B$305, 0)))</f>
        <v/>
      </c>
      <c r="D273" s="8"/>
      <c r="E273" s="8"/>
      <c r="F273" s="13"/>
      <c r="G273" s="14"/>
      <c r="H273" s="9">
        <f>IF(ISBLANK(C273), "", SUMIFS(F$2:F273, C$2:C273, C273) - SUMIFS(G$2:G273, C$2:C273, C273))</f>
        <v>0</v>
      </c>
    </row>
    <row r="274" spans="1:8" ht="18" customHeight="1" x14ac:dyDescent="0.55000000000000004">
      <c r="A274" s="11"/>
      <c r="C274" s="12" t="str">
        <f>IF(ISBLANK(B274), "", INDEX('কাস্টমার তালিকা'!$A$4:$A$305, MATCH(B274, 'কাস্টমার তালিকা'!$B$4:$B$305, 0)))</f>
        <v/>
      </c>
      <c r="D274" s="8"/>
      <c r="E274" s="8"/>
      <c r="F274" s="13"/>
      <c r="G274" s="14"/>
      <c r="H274" s="9">
        <f>IF(ISBLANK(C274), "", SUMIFS(F$2:F274, C$2:C274, C274) - SUMIFS(G$2:G274, C$2:C274, C274))</f>
        <v>0</v>
      </c>
    </row>
    <row r="275" spans="1:8" ht="18" customHeight="1" x14ac:dyDescent="0.55000000000000004">
      <c r="A275" s="11"/>
      <c r="C275" s="12" t="str">
        <f>IF(ISBLANK(B275), "", INDEX('কাস্টমার তালিকা'!$A$4:$A$305, MATCH(B275, 'কাস্টমার তালিকা'!$B$4:$B$305, 0)))</f>
        <v/>
      </c>
      <c r="D275" s="8"/>
      <c r="E275" s="8"/>
      <c r="F275" s="13"/>
      <c r="G275" s="14"/>
      <c r="H275" s="9">
        <f>IF(ISBLANK(C275), "", SUMIFS(F$2:F275, C$2:C275, C275) - SUMIFS(G$2:G275, C$2:C275, C275))</f>
        <v>0</v>
      </c>
    </row>
    <row r="276" spans="1:8" ht="18" customHeight="1" x14ac:dyDescent="0.55000000000000004">
      <c r="A276" s="11"/>
      <c r="C276" s="12" t="str">
        <f>IF(ISBLANK(B276), "", INDEX('কাস্টমার তালিকা'!$A$4:$A$305, MATCH(B276, 'কাস্টমার তালিকা'!$B$4:$B$305, 0)))</f>
        <v/>
      </c>
      <c r="D276" s="8"/>
      <c r="E276" s="8"/>
      <c r="F276" s="13"/>
      <c r="G276" s="14"/>
      <c r="H276" s="9">
        <f>IF(ISBLANK(C276), "", SUMIFS(F$2:F276, C$2:C276, C276) - SUMIFS(G$2:G276, C$2:C276, C276))</f>
        <v>0</v>
      </c>
    </row>
    <row r="277" spans="1:8" ht="18" customHeight="1" x14ac:dyDescent="0.55000000000000004">
      <c r="A277" s="11"/>
      <c r="C277" s="12" t="str">
        <f>IF(ISBLANK(B277), "", INDEX('কাস্টমার তালিকা'!$A$4:$A$305, MATCH(B277, 'কাস্টমার তালিকা'!$B$4:$B$305, 0)))</f>
        <v/>
      </c>
      <c r="D277" s="8"/>
      <c r="E277" s="8"/>
      <c r="F277" s="13"/>
      <c r="G277" s="14"/>
      <c r="H277" s="9">
        <f>IF(ISBLANK(C277), "", SUMIFS(F$2:F277, C$2:C277, C277) - SUMIFS(G$2:G277, C$2:C277, C277))</f>
        <v>0</v>
      </c>
    </row>
    <row r="278" spans="1:8" ht="18" customHeight="1" x14ac:dyDescent="0.55000000000000004">
      <c r="A278" s="11"/>
      <c r="C278" s="12" t="str">
        <f>IF(ISBLANK(B278), "", INDEX('কাস্টমার তালিকা'!$A$4:$A$305, MATCH(B278, 'কাস্টমার তালিকা'!$B$4:$B$305, 0)))</f>
        <v/>
      </c>
      <c r="D278" s="8"/>
      <c r="E278" s="8"/>
      <c r="F278" s="13"/>
      <c r="G278" s="14"/>
      <c r="H278" s="9">
        <f>IF(ISBLANK(C278), "", SUMIFS(F$2:F278, C$2:C278, C278) - SUMIFS(G$2:G278, C$2:C278, C278))</f>
        <v>0</v>
      </c>
    </row>
    <row r="279" spans="1:8" ht="18" customHeight="1" x14ac:dyDescent="0.55000000000000004">
      <c r="A279" s="11"/>
      <c r="C279" s="12" t="str">
        <f>IF(ISBLANK(B279), "", INDEX('কাস্টমার তালিকা'!$A$4:$A$305, MATCH(B279, 'কাস্টমার তালিকা'!$B$4:$B$305, 0)))</f>
        <v/>
      </c>
      <c r="D279" s="8"/>
      <c r="E279" s="8"/>
      <c r="F279" s="13"/>
      <c r="G279" s="14"/>
      <c r="H279" s="9">
        <f>IF(ISBLANK(C279), "", SUMIFS(F$2:F279, C$2:C279, C279) - SUMIFS(G$2:G279, C$2:C279, C279))</f>
        <v>0</v>
      </c>
    </row>
    <row r="280" spans="1:8" ht="18" customHeight="1" x14ac:dyDescent="0.55000000000000004">
      <c r="A280" s="11"/>
      <c r="C280" s="12" t="str">
        <f>IF(ISBLANK(B280), "", INDEX('কাস্টমার তালিকা'!$A$4:$A$305, MATCH(B280, 'কাস্টমার তালিকা'!$B$4:$B$305, 0)))</f>
        <v/>
      </c>
      <c r="D280" s="8"/>
      <c r="E280" s="8"/>
      <c r="F280" s="13"/>
      <c r="G280" s="14"/>
      <c r="H280" s="9">
        <f>IF(ISBLANK(C280), "", SUMIFS(F$2:F280, C$2:C280, C280) - SUMIFS(G$2:G280, C$2:C280, C280))</f>
        <v>0</v>
      </c>
    </row>
    <row r="281" spans="1:8" ht="18" customHeight="1" x14ac:dyDescent="0.55000000000000004">
      <c r="A281" s="11"/>
      <c r="C281" s="12" t="str">
        <f>IF(ISBLANK(B281), "", INDEX('কাস্টমার তালিকা'!$A$4:$A$305, MATCH(B281, 'কাস্টমার তালিকা'!$B$4:$B$305, 0)))</f>
        <v/>
      </c>
      <c r="D281" s="8"/>
      <c r="E281" s="8"/>
      <c r="F281" s="13"/>
      <c r="G281" s="14"/>
      <c r="H281" s="9">
        <f>IF(ISBLANK(C281), "", SUMIFS(F$2:F281, C$2:C281, C281) - SUMIFS(G$2:G281, C$2:C281, C281))</f>
        <v>0</v>
      </c>
    </row>
    <row r="282" spans="1:8" ht="18" customHeight="1" x14ac:dyDescent="0.55000000000000004">
      <c r="A282" s="11"/>
      <c r="C282" s="12" t="str">
        <f>IF(ISBLANK(B282), "", INDEX('কাস্টমার তালিকা'!$A$4:$A$305, MATCH(B282, 'কাস্টমার তালিকা'!$B$4:$B$305, 0)))</f>
        <v/>
      </c>
      <c r="D282" s="8"/>
      <c r="E282" s="8"/>
      <c r="F282" s="13"/>
      <c r="G282" s="14"/>
      <c r="H282" s="9">
        <f>IF(ISBLANK(C282), "", SUMIFS(F$2:F282, C$2:C282, C282) - SUMIFS(G$2:G282, C$2:C282, C282))</f>
        <v>0</v>
      </c>
    </row>
    <row r="283" spans="1:8" ht="18" customHeight="1" x14ac:dyDescent="0.55000000000000004">
      <c r="A283" s="11"/>
      <c r="C283" s="12" t="str">
        <f>IF(ISBLANK(B283), "", INDEX('কাস্টমার তালিকা'!$A$4:$A$305, MATCH(B283, 'কাস্টমার তালিকা'!$B$4:$B$305, 0)))</f>
        <v/>
      </c>
      <c r="D283" s="8"/>
      <c r="E283" s="8"/>
      <c r="F283" s="13"/>
      <c r="G283" s="14"/>
      <c r="H283" s="9">
        <f>IF(ISBLANK(C283), "", SUMIFS(F$2:F283, C$2:C283, C283) - SUMIFS(G$2:G283, C$2:C283, C283))</f>
        <v>0</v>
      </c>
    </row>
    <row r="284" spans="1:8" ht="18" customHeight="1" x14ac:dyDescent="0.55000000000000004">
      <c r="A284" s="11"/>
      <c r="C284" s="12" t="str">
        <f>IF(ISBLANK(B284), "", INDEX('কাস্টমার তালিকা'!$A$4:$A$305, MATCH(B284, 'কাস্টমার তালিকা'!$B$4:$B$305, 0)))</f>
        <v/>
      </c>
      <c r="D284" s="8"/>
      <c r="E284" s="8"/>
      <c r="F284" s="13"/>
      <c r="G284" s="14"/>
      <c r="H284" s="9">
        <f>IF(ISBLANK(C284), "", SUMIFS(F$2:F284, C$2:C284, C284) - SUMIFS(G$2:G284, C$2:C284, C284))</f>
        <v>0</v>
      </c>
    </row>
    <row r="285" spans="1:8" ht="18" customHeight="1" x14ac:dyDescent="0.55000000000000004">
      <c r="A285" s="11"/>
      <c r="C285" s="12" t="str">
        <f>IF(ISBLANK(B285), "", INDEX('কাস্টমার তালিকা'!$A$4:$A$305, MATCH(B285, 'কাস্টমার তালিকা'!$B$4:$B$305, 0)))</f>
        <v/>
      </c>
      <c r="D285" s="8"/>
      <c r="E285" s="8"/>
      <c r="F285" s="13"/>
      <c r="G285" s="14"/>
      <c r="H285" s="9">
        <f>IF(ISBLANK(C285), "", SUMIFS(F$2:F285, C$2:C285, C285) - SUMIFS(G$2:G285, C$2:C285, C285))</f>
        <v>0</v>
      </c>
    </row>
    <row r="286" spans="1:8" ht="18" customHeight="1" x14ac:dyDescent="0.55000000000000004">
      <c r="A286" s="11"/>
      <c r="C286" s="12" t="str">
        <f>IF(ISBLANK(B286), "", INDEX('কাস্টমার তালিকা'!$A$4:$A$305, MATCH(B286, 'কাস্টমার তালিকা'!$B$4:$B$305, 0)))</f>
        <v/>
      </c>
      <c r="D286" s="8"/>
      <c r="E286" s="8"/>
      <c r="F286" s="13"/>
      <c r="G286" s="14"/>
      <c r="H286" s="9">
        <f>IF(ISBLANK(C286), "", SUMIFS(F$2:F286, C$2:C286, C286) - SUMIFS(G$2:G286, C$2:C286, C286))</f>
        <v>0</v>
      </c>
    </row>
    <row r="287" spans="1:8" ht="18" customHeight="1" x14ac:dyDescent="0.55000000000000004">
      <c r="A287" s="11"/>
      <c r="C287" s="12" t="str">
        <f>IF(ISBLANK(B287), "", INDEX('কাস্টমার তালিকা'!$A$4:$A$305, MATCH(B287, 'কাস্টমার তালিকা'!$B$4:$B$305, 0)))</f>
        <v/>
      </c>
      <c r="D287" s="8"/>
      <c r="E287" s="8"/>
      <c r="F287" s="13"/>
      <c r="G287" s="14"/>
      <c r="H287" s="9">
        <f>IF(ISBLANK(C287), "", SUMIFS(F$2:F287, C$2:C287, C287) - SUMIFS(G$2:G287, C$2:C287, C287))</f>
        <v>0</v>
      </c>
    </row>
    <row r="288" spans="1:8" ht="18" customHeight="1" x14ac:dyDescent="0.55000000000000004">
      <c r="A288" s="11"/>
      <c r="C288" s="12" t="str">
        <f>IF(ISBLANK(B288), "", INDEX('কাস্টমার তালিকা'!$A$4:$A$305, MATCH(B288, 'কাস্টমার তালিকা'!$B$4:$B$305, 0)))</f>
        <v/>
      </c>
      <c r="D288" s="8"/>
      <c r="E288" s="8"/>
      <c r="F288" s="13"/>
      <c r="G288" s="14"/>
      <c r="H288" s="9">
        <f>IF(ISBLANK(C288), "", SUMIFS(F$2:F288, C$2:C288, C288) - SUMIFS(G$2:G288, C$2:C288, C288))</f>
        <v>0</v>
      </c>
    </row>
    <row r="289" spans="1:8" ht="18" customHeight="1" x14ac:dyDescent="0.55000000000000004">
      <c r="A289" s="11"/>
      <c r="C289" s="12" t="str">
        <f>IF(ISBLANK(B289), "", INDEX('কাস্টমার তালিকা'!$A$4:$A$305, MATCH(B289, 'কাস্টমার তালিকা'!$B$4:$B$305, 0)))</f>
        <v/>
      </c>
      <c r="D289" s="8"/>
      <c r="E289" s="8"/>
      <c r="F289" s="13"/>
      <c r="G289" s="14"/>
      <c r="H289" s="9">
        <f>IF(ISBLANK(C289), "", SUMIFS(F$2:F289, C$2:C289, C289) - SUMIFS(G$2:G289, C$2:C289, C289))</f>
        <v>0</v>
      </c>
    </row>
    <row r="290" spans="1:8" ht="18" customHeight="1" x14ac:dyDescent="0.55000000000000004">
      <c r="A290" s="11"/>
      <c r="C290" s="12" t="str">
        <f>IF(ISBLANK(B290), "", INDEX('কাস্টমার তালিকা'!$A$4:$A$305, MATCH(B290, 'কাস্টমার তালিকা'!$B$4:$B$305, 0)))</f>
        <v/>
      </c>
      <c r="D290" s="8"/>
      <c r="E290" s="8"/>
      <c r="F290" s="13"/>
      <c r="G290" s="14"/>
      <c r="H290" s="9">
        <f>IF(ISBLANK(C290), "", SUMIFS(F$2:F290, C$2:C290, C290) - SUMIFS(G$2:G290, C$2:C290, C290))</f>
        <v>0</v>
      </c>
    </row>
    <row r="291" spans="1:8" ht="18" customHeight="1" x14ac:dyDescent="0.55000000000000004">
      <c r="A291" s="11"/>
      <c r="C291" s="12" t="str">
        <f>IF(ISBLANK(B291), "", INDEX('কাস্টমার তালিকা'!$A$4:$A$305, MATCH(B291, 'কাস্টমার তালিকা'!$B$4:$B$305, 0)))</f>
        <v/>
      </c>
      <c r="D291" s="8"/>
      <c r="E291" s="8"/>
      <c r="F291" s="13"/>
      <c r="G291" s="14"/>
      <c r="H291" s="9">
        <f>IF(ISBLANK(C291), "", SUMIFS(F$2:F291, C$2:C291, C291) - SUMIFS(G$2:G291, C$2:C291, C291))</f>
        <v>0</v>
      </c>
    </row>
    <row r="292" spans="1:8" ht="18" customHeight="1" x14ac:dyDescent="0.55000000000000004">
      <c r="A292" s="11"/>
      <c r="C292" s="12" t="str">
        <f>IF(ISBLANK(B292), "", INDEX('কাস্টমার তালিকা'!$A$4:$A$305, MATCH(B292, 'কাস্টমার তালিকা'!$B$4:$B$305, 0)))</f>
        <v/>
      </c>
      <c r="D292" s="8"/>
      <c r="E292" s="8"/>
      <c r="F292" s="13"/>
      <c r="G292" s="14"/>
      <c r="H292" s="9">
        <f>IF(ISBLANK(C292), "", SUMIFS(F$2:F292, C$2:C292, C292) - SUMIFS(G$2:G292, C$2:C292, C292))</f>
        <v>0</v>
      </c>
    </row>
    <row r="293" spans="1:8" ht="18" customHeight="1" x14ac:dyDescent="0.55000000000000004">
      <c r="A293" s="11"/>
      <c r="C293" s="12" t="str">
        <f>IF(ISBLANK(B293), "", INDEX('কাস্টমার তালিকা'!$A$4:$A$305, MATCH(B293, 'কাস্টমার তালিকা'!$B$4:$B$305, 0)))</f>
        <v/>
      </c>
      <c r="D293" s="8"/>
      <c r="E293" s="8"/>
      <c r="F293" s="13"/>
      <c r="G293" s="14"/>
      <c r="H293" s="9">
        <f>IF(ISBLANK(C293), "", SUMIFS(F$2:F293, C$2:C293, C293) - SUMIFS(G$2:G293, C$2:C293, C293))</f>
        <v>0</v>
      </c>
    </row>
    <row r="294" spans="1:8" ht="18" customHeight="1" x14ac:dyDescent="0.55000000000000004">
      <c r="A294" s="11"/>
      <c r="C294" s="12" t="str">
        <f>IF(ISBLANK(B294), "", INDEX('কাস্টমার তালিকা'!$A$4:$A$305, MATCH(B294, 'কাস্টমার তালিকা'!$B$4:$B$305, 0)))</f>
        <v/>
      </c>
      <c r="D294" s="8"/>
      <c r="E294" s="8"/>
      <c r="F294" s="13"/>
      <c r="G294" s="14"/>
      <c r="H294" s="9">
        <f>IF(ISBLANK(C294), "", SUMIFS(F$2:F294, C$2:C294, C294) - SUMIFS(G$2:G294, C$2:C294, C294))</f>
        <v>0</v>
      </c>
    </row>
    <row r="295" spans="1:8" ht="18" customHeight="1" x14ac:dyDescent="0.55000000000000004">
      <c r="A295" s="11"/>
      <c r="C295" s="12" t="str">
        <f>IF(ISBLANK(B295), "", INDEX('কাস্টমার তালিকা'!$A$4:$A$305, MATCH(B295, 'কাস্টমার তালিকা'!$B$4:$B$305, 0)))</f>
        <v/>
      </c>
      <c r="D295" s="8"/>
      <c r="E295" s="8"/>
      <c r="F295" s="13"/>
      <c r="G295" s="14"/>
      <c r="H295" s="9">
        <f>IF(ISBLANK(C295), "", SUMIFS(F$2:F295, C$2:C295, C295) - SUMIFS(G$2:G295, C$2:C295, C295))</f>
        <v>0</v>
      </c>
    </row>
    <row r="296" spans="1:8" ht="18" customHeight="1" x14ac:dyDescent="0.55000000000000004">
      <c r="A296" s="11"/>
      <c r="C296" s="12" t="str">
        <f>IF(ISBLANK(B296), "", INDEX('কাস্টমার তালিকা'!$A$4:$A$305, MATCH(B296, 'কাস্টমার তালিকা'!$B$4:$B$305, 0)))</f>
        <v/>
      </c>
      <c r="D296" s="8"/>
      <c r="E296" s="8"/>
      <c r="F296" s="13"/>
      <c r="G296" s="14"/>
      <c r="H296" s="9">
        <f>IF(ISBLANK(C296), "", SUMIFS(F$2:F296, C$2:C296, C296) - SUMIFS(G$2:G296, C$2:C296, C296))</f>
        <v>0</v>
      </c>
    </row>
    <row r="297" spans="1:8" ht="18" customHeight="1" x14ac:dyDescent="0.55000000000000004">
      <c r="A297" s="11"/>
      <c r="C297" s="12" t="str">
        <f>IF(ISBLANK(B297), "", INDEX('কাস্টমার তালিকা'!$A$4:$A$305, MATCH(B297, 'কাস্টমার তালিকা'!$B$4:$B$305, 0)))</f>
        <v/>
      </c>
      <c r="D297" s="8"/>
      <c r="E297" s="8"/>
      <c r="F297" s="13"/>
      <c r="G297" s="14"/>
      <c r="H297" s="9">
        <f>IF(ISBLANK(C297), "", SUMIFS(F$2:F297, C$2:C297, C297) - SUMIFS(G$2:G297, C$2:C297, C297))</f>
        <v>0</v>
      </c>
    </row>
    <row r="298" spans="1:8" ht="18" customHeight="1" x14ac:dyDescent="0.55000000000000004">
      <c r="A298" s="11"/>
      <c r="C298" s="12" t="str">
        <f>IF(ISBLANK(B298), "", INDEX('কাস্টমার তালিকা'!$A$4:$A$305, MATCH(B298, 'কাস্টমার তালিকা'!$B$4:$B$305, 0)))</f>
        <v/>
      </c>
      <c r="D298" s="8"/>
      <c r="E298" s="8"/>
      <c r="F298" s="13"/>
      <c r="G298" s="14"/>
      <c r="H298" s="9">
        <f>IF(ISBLANK(C298), "", SUMIFS(F$2:F298, C$2:C298, C298) - SUMIFS(G$2:G298, C$2:C298, C298))</f>
        <v>0</v>
      </c>
    </row>
    <row r="299" spans="1:8" ht="18" customHeight="1" x14ac:dyDescent="0.55000000000000004">
      <c r="A299" s="11"/>
      <c r="C299" s="12" t="str">
        <f>IF(ISBLANK(B299), "", INDEX('কাস্টমার তালিকা'!$A$4:$A$305, MATCH(B299, 'কাস্টমার তালিকা'!$B$4:$B$305, 0)))</f>
        <v/>
      </c>
      <c r="D299" s="8"/>
      <c r="E299" s="8"/>
      <c r="F299" s="13"/>
      <c r="G299" s="14"/>
      <c r="H299" s="9">
        <f>IF(ISBLANK(C299), "", SUMIFS(F$2:F299, C$2:C299, C299) - SUMIFS(G$2:G299, C$2:C299, C299))</f>
        <v>0</v>
      </c>
    </row>
    <row r="300" spans="1:8" ht="18" customHeight="1" x14ac:dyDescent="0.55000000000000004">
      <c r="A300" s="11"/>
      <c r="C300" s="12" t="str">
        <f>IF(ISBLANK(B300), "", INDEX('কাস্টমার তালিকা'!$A$4:$A$305, MATCH(B300, 'কাস্টমার তালিকা'!$B$4:$B$305, 0)))</f>
        <v/>
      </c>
      <c r="D300" s="8"/>
      <c r="E300" s="8"/>
      <c r="F300" s="13"/>
      <c r="G300" s="14"/>
      <c r="H300" s="9">
        <f>IF(ISBLANK(C300), "", SUMIFS(F$2:F300, C$2:C300, C300) - SUMIFS(G$2:G300, C$2:C300, C300))</f>
        <v>0</v>
      </c>
    </row>
    <row r="301" spans="1:8" ht="18" customHeight="1" x14ac:dyDescent="0.55000000000000004">
      <c r="A301" s="11"/>
      <c r="C301" s="12" t="str">
        <f>IF(ISBLANK(B301), "", INDEX('কাস্টমার তালিকা'!$A$4:$A$305, MATCH(B301, 'কাস্টমার তালিকা'!$B$4:$B$305, 0)))</f>
        <v/>
      </c>
      <c r="D301" s="8"/>
      <c r="E301" s="8"/>
      <c r="F301" s="13"/>
      <c r="G301" s="14"/>
      <c r="H301" s="9">
        <f>IF(ISBLANK(C301), "", SUMIFS(F$2:F301, C$2:C301, C301) - SUMIFS(G$2:G301, C$2:C301, C301))</f>
        <v>0</v>
      </c>
    </row>
    <row r="302" spans="1:8" ht="18" customHeight="1" x14ac:dyDescent="0.55000000000000004">
      <c r="A302" s="11"/>
      <c r="C302" s="12" t="str">
        <f>IF(ISBLANK(B302), "", INDEX('কাস্টমার তালিকা'!$A$4:$A$305, MATCH(B302, 'কাস্টমার তালিকা'!$B$4:$B$305, 0)))</f>
        <v/>
      </c>
      <c r="D302" s="8"/>
      <c r="E302" s="8"/>
      <c r="F302" s="13"/>
      <c r="G302" s="14"/>
      <c r="H302" s="9">
        <f>IF(ISBLANK(C302), "", SUMIFS(F$2:F302, C$2:C302, C302) - SUMIFS(G$2:G302, C$2:C302, C302))</f>
        <v>0</v>
      </c>
    </row>
    <row r="303" spans="1:8" ht="18" customHeight="1" x14ac:dyDescent="0.55000000000000004">
      <c r="A303" s="11"/>
      <c r="C303" s="12" t="str">
        <f>IF(ISBLANK(B303), "", INDEX('কাস্টমার তালিকা'!$A$4:$A$305, MATCH(B303, 'কাস্টমার তালিকা'!$B$4:$B$305, 0)))</f>
        <v/>
      </c>
      <c r="D303" s="8"/>
      <c r="E303" s="8"/>
      <c r="F303" s="13"/>
      <c r="G303" s="14"/>
      <c r="H303" s="9">
        <f>IF(ISBLANK(C303), "", SUMIFS(F$2:F303, C$2:C303, C303) - SUMIFS(G$2:G303, C$2:C303, C303))</f>
        <v>0</v>
      </c>
    </row>
    <row r="304" spans="1:8" ht="18" customHeight="1" x14ac:dyDescent="0.55000000000000004">
      <c r="A304" s="11"/>
      <c r="C304" s="12" t="str">
        <f>IF(ISBLANK(B304), "", INDEX('কাস্টমার তালিকা'!$A$4:$A$305, MATCH(B304, 'কাস্টমার তালিকা'!$B$4:$B$305, 0)))</f>
        <v/>
      </c>
      <c r="D304" s="8"/>
      <c r="E304" s="8"/>
      <c r="F304" s="13"/>
      <c r="G304" s="14"/>
      <c r="H304" s="9">
        <f>IF(ISBLANK(C304), "", SUMIFS(F$2:F304, C$2:C304, C304) - SUMIFS(G$2:G304, C$2:C304, C304))</f>
        <v>0</v>
      </c>
    </row>
    <row r="305" spans="1:8" ht="18" customHeight="1" x14ac:dyDescent="0.55000000000000004">
      <c r="A305" s="11"/>
      <c r="C305" s="12" t="str">
        <f>IF(ISBLANK(B305), "", INDEX('কাস্টমার তালিকা'!$A$4:$A$305, MATCH(B305, 'কাস্টমার তালিকা'!$B$4:$B$305, 0)))</f>
        <v/>
      </c>
      <c r="D305" s="8"/>
      <c r="E305" s="8"/>
      <c r="F305" s="13"/>
      <c r="G305" s="14"/>
      <c r="H305" s="9">
        <f>IF(ISBLANK(C305), "", SUMIFS(F$2:F305, C$2:C305, C305) - SUMIFS(G$2:G305, C$2:C305, C305))</f>
        <v>0</v>
      </c>
    </row>
    <row r="306" spans="1:8" ht="18" customHeight="1" x14ac:dyDescent="0.55000000000000004">
      <c r="A306" s="11"/>
      <c r="C306" s="12" t="str">
        <f>IF(ISBLANK(B306), "", INDEX('কাস্টমার তালিকা'!$A$4:$A$305, MATCH(B306, 'কাস্টমার তালিকা'!$B$4:$B$305, 0)))</f>
        <v/>
      </c>
      <c r="D306" s="8"/>
      <c r="E306" s="8"/>
      <c r="F306" s="13"/>
      <c r="G306" s="14"/>
      <c r="H306" s="9">
        <f>IF(ISBLANK(C306), "", SUMIFS(F$2:F306, C$2:C306, C306) - SUMIFS(G$2:G306, C$2:C306, C306))</f>
        <v>0</v>
      </c>
    </row>
    <row r="307" spans="1:8" ht="18" customHeight="1" x14ac:dyDescent="0.55000000000000004">
      <c r="A307" s="11"/>
      <c r="C307" s="12" t="str">
        <f>IF(ISBLANK(B307), "", INDEX('কাস্টমার তালিকা'!$A$4:$A$305, MATCH(B307, 'কাস্টমার তালিকা'!$B$4:$B$305, 0)))</f>
        <v/>
      </c>
      <c r="D307" s="8"/>
      <c r="E307" s="8"/>
      <c r="F307" s="13"/>
      <c r="G307" s="14"/>
      <c r="H307" s="9">
        <f>IF(ISBLANK(C307), "", SUMIFS(F$2:F307, C$2:C307, C307) - SUMIFS(G$2:G307, C$2:C307, C307))</f>
        <v>0</v>
      </c>
    </row>
    <row r="308" spans="1:8" ht="18" customHeight="1" x14ac:dyDescent="0.55000000000000004">
      <c r="A308" s="11"/>
      <c r="C308" s="12" t="str">
        <f>IF(ISBLANK(B308), "", INDEX('কাস্টমার তালিকা'!$A$4:$A$305, MATCH(B308, 'কাস্টমার তালিকা'!$B$4:$B$305, 0)))</f>
        <v/>
      </c>
      <c r="D308" s="8"/>
      <c r="E308" s="8"/>
      <c r="F308" s="13"/>
      <c r="G308" s="14"/>
      <c r="H308" s="9">
        <f>IF(ISBLANK(C308), "", SUMIFS(F$2:F308, C$2:C308, C308) - SUMIFS(G$2:G308, C$2:C308, C308))</f>
        <v>0</v>
      </c>
    </row>
    <row r="309" spans="1:8" ht="18" customHeight="1" x14ac:dyDescent="0.55000000000000004">
      <c r="A309" s="11"/>
      <c r="C309" s="12" t="str">
        <f>IF(ISBLANK(B309), "", INDEX('কাস্টমার তালিকা'!$A$4:$A$305, MATCH(B309, 'কাস্টমার তালিকা'!$B$4:$B$305, 0)))</f>
        <v/>
      </c>
      <c r="D309" s="8"/>
      <c r="E309" s="8"/>
      <c r="F309" s="13"/>
      <c r="G309" s="14"/>
      <c r="H309" s="9">
        <f>IF(ISBLANK(C309), "", SUMIFS(F$2:F309, C$2:C309, C309) - SUMIFS(G$2:G309, C$2:C309, C309))</f>
        <v>0</v>
      </c>
    </row>
    <row r="310" spans="1:8" ht="18" customHeight="1" x14ac:dyDescent="0.55000000000000004">
      <c r="A310" s="11"/>
      <c r="C310" s="12" t="str">
        <f>IF(ISBLANK(B310), "", INDEX('কাস্টমার তালিকা'!$A$4:$A$305, MATCH(B310, 'কাস্টমার তালিকা'!$B$4:$B$305, 0)))</f>
        <v/>
      </c>
      <c r="D310" s="8"/>
      <c r="E310" s="8"/>
      <c r="F310" s="13"/>
      <c r="G310" s="14"/>
      <c r="H310" s="9">
        <f>IF(ISBLANK(C310), "", SUMIFS(F$2:F310, C$2:C310, C310) - SUMIFS(G$2:G310, C$2:C310, C310))</f>
        <v>0</v>
      </c>
    </row>
    <row r="311" spans="1:8" ht="18" customHeight="1" x14ac:dyDescent="0.55000000000000004">
      <c r="A311" s="11"/>
      <c r="C311" s="12" t="str">
        <f>IF(ISBLANK(B311), "", INDEX('কাস্টমার তালিকা'!$A$4:$A$305, MATCH(B311, 'কাস্টমার তালিকা'!$B$4:$B$305, 0)))</f>
        <v/>
      </c>
      <c r="D311" s="8"/>
      <c r="E311" s="8"/>
      <c r="F311" s="13"/>
      <c r="G311" s="14"/>
      <c r="H311" s="9">
        <f>IF(ISBLANK(C311), "", SUMIFS(F$2:F311, C$2:C311, C311) - SUMIFS(G$2:G311, C$2:C311, C311))</f>
        <v>0</v>
      </c>
    </row>
    <row r="312" spans="1:8" ht="18" customHeight="1" x14ac:dyDescent="0.55000000000000004">
      <c r="A312" s="11"/>
      <c r="C312" s="12" t="str">
        <f>IF(ISBLANK(B312), "", INDEX('কাস্টমার তালিকা'!$A$4:$A$305, MATCH(B312, 'কাস্টমার তালিকা'!$B$4:$B$305, 0)))</f>
        <v/>
      </c>
      <c r="D312" s="8"/>
      <c r="E312" s="8"/>
      <c r="F312" s="13"/>
      <c r="G312" s="14"/>
      <c r="H312" s="9">
        <f>IF(ISBLANK(C312), "", SUMIFS(F$2:F312, C$2:C312, C312) - SUMIFS(G$2:G312, C$2:C312, C312))</f>
        <v>0</v>
      </c>
    </row>
    <row r="313" spans="1:8" ht="18" customHeight="1" x14ac:dyDescent="0.55000000000000004">
      <c r="A313" s="11"/>
      <c r="C313" s="12" t="str">
        <f>IF(ISBLANK(B313), "", INDEX('কাস্টমার তালিকা'!$A$4:$A$305, MATCH(B313, 'কাস্টমার তালিকা'!$B$4:$B$305, 0)))</f>
        <v/>
      </c>
      <c r="D313" s="8"/>
      <c r="E313" s="8"/>
      <c r="F313" s="13"/>
      <c r="G313" s="14"/>
      <c r="H313" s="9">
        <f>IF(ISBLANK(C313), "", SUMIFS(F$2:F313, C$2:C313, C313) - SUMIFS(G$2:G313, C$2:C313, C313))</f>
        <v>0</v>
      </c>
    </row>
    <row r="314" spans="1:8" ht="18" customHeight="1" x14ac:dyDescent="0.55000000000000004">
      <c r="A314" s="11"/>
      <c r="C314" s="12" t="str">
        <f>IF(ISBLANK(B314), "", INDEX('কাস্টমার তালিকা'!$A$4:$A$305, MATCH(B314, 'কাস্টমার তালিকা'!$B$4:$B$305, 0)))</f>
        <v/>
      </c>
      <c r="D314" s="8"/>
      <c r="E314" s="8"/>
      <c r="F314" s="13"/>
      <c r="G314" s="14"/>
      <c r="H314" s="9">
        <f>IF(ISBLANK(C314), "", SUMIFS(F$2:F314, C$2:C314, C314) - SUMIFS(G$2:G314, C$2:C314, C314))</f>
        <v>0</v>
      </c>
    </row>
    <row r="315" spans="1:8" ht="18" customHeight="1" x14ac:dyDescent="0.55000000000000004">
      <c r="A315" s="11"/>
      <c r="C315" s="12" t="str">
        <f>IF(ISBLANK(B315), "", INDEX('কাস্টমার তালিকা'!$A$4:$A$305, MATCH(B315, 'কাস্টমার তালিকা'!$B$4:$B$305, 0)))</f>
        <v/>
      </c>
      <c r="D315" s="8"/>
      <c r="E315" s="8"/>
      <c r="F315" s="13"/>
      <c r="G315" s="14"/>
      <c r="H315" s="9">
        <f>IF(ISBLANK(C315), "", SUMIFS(F$2:F315, C$2:C315, C315) - SUMIFS(G$2:G315, C$2:C315, C315))</f>
        <v>0</v>
      </c>
    </row>
    <row r="316" spans="1:8" ht="18" customHeight="1" x14ac:dyDescent="0.55000000000000004">
      <c r="A316" s="11"/>
      <c r="C316" s="12" t="str">
        <f>IF(ISBLANK(B316), "", INDEX('কাস্টমার তালিকা'!$A$4:$A$305, MATCH(B316, 'কাস্টমার তালিকা'!$B$4:$B$305, 0)))</f>
        <v/>
      </c>
      <c r="D316" s="8"/>
      <c r="E316" s="8"/>
      <c r="F316" s="13"/>
      <c r="G316" s="14"/>
      <c r="H316" s="9">
        <f>IF(ISBLANK(C316), "", SUMIFS(F$2:F316, C$2:C316, C316) - SUMIFS(G$2:G316, C$2:C316, C316))</f>
        <v>0</v>
      </c>
    </row>
    <row r="317" spans="1:8" ht="18" customHeight="1" x14ac:dyDescent="0.55000000000000004">
      <c r="A317" s="11"/>
      <c r="C317" s="12" t="str">
        <f>IF(ISBLANK(B317), "", INDEX('কাস্টমার তালিকা'!$A$4:$A$305, MATCH(B317, 'কাস্টমার তালিকা'!$B$4:$B$305, 0)))</f>
        <v/>
      </c>
      <c r="D317" s="8"/>
      <c r="E317" s="8"/>
      <c r="F317" s="13"/>
      <c r="G317" s="14"/>
      <c r="H317" s="9">
        <f>IF(ISBLANK(C317), "", SUMIFS(F$2:F317, C$2:C317, C317) - SUMIFS(G$2:G317, C$2:C317, C317))</f>
        <v>0</v>
      </c>
    </row>
    <row r="318" spans="1:8" ht="18" customHeight="1" x14ac:dyDescent="0.55000000000000004">
      <c r="A318" s="11"/>
      <c r="C318" s="12" t="str">
        <f>IF(ISBLANK(B318), "", INDEX('কাস্টমার তালিকা'!$A$4:$A$305, MATCH(B318, 'কাস্টমার তালিকা'!$B$4:$B$305, 0)))</f>
        <v/>
      </c>
      <c r="D318" s="8"/>
      <c r="E318" s="8"/>
      <c r="F318" s="13"/>
      <c r="G318" s="14"/>
      <c r="H318" s="9">
        <f>IF(ISBLANK(C318), "", SUMIFS(F$2:F318, C$2:C318, C318) - SUMIFS(G$2:G318, C$2:C318, C318))</f>
        <v>0</v>
      </c>
    </row>
    <row r="319" spans="1:8" ht="18" customHeight="1" x14ac:dyDescent="0.55000000000000004">
      <c r="A319" s="11"/>
      <c r="C319" s="12" t="str">
        <f>IF(ISBLANK(B319), "", INDEX('কাস্টমার তালিকা'!$A$4:$A$305, MATCH(B319, 'কাস্টমার তালিকা'!$B$4:$B$305, 0)))</f>
        <v/>
      </c>
      <c r="D319" s="8"/>
      <c r="E319" s="8"/>
      <c r="F319" s="13"/>
      <c r="G319" s="14"/>
      <c r="H319" s="9">
        <f>IF(ISBLANK(C319), "", SUMIFS(F$2:F319, C$2:C319, C319) - SUMIFS(G$2:G319, C$2:C319, C319))</f>
        <v>0</v>
      </c>
    </row>
    <row r="320" spans="1:8" ht="18" customHeight="1" x14ac:dyDescent="0.55000000000000004">
      <c r="A320" s="11"/>
      <c r="C320" s="12" t="str">
        <f>IF(ISBLANK(B320), "", INDEX('কাস্টমার তালিকা'!$A$4:$A$305, MATCH(B320, 'কাস্টমার তালিকা'!$B$4:$B$305, 0)))</f>
        <v/>
      </c>
      <c r="D320" s="8"/>
      <c r="E320" s="8"/>
      <c r="F320" s="13"/>
      <c r="G320" s="14"/>
      <c r="H320" s="9">
        <f>IF(ISBLANK(C320), "", SUMIFS(F$2:F320, C$2:C320, C320) - SUMIFS(G$2:G320, C$2:C320, C320))</f>
        <v>0</v>
      </c>
    </row>
    <row r="321" spans="1:8" ht="18" customHeight="1" x14ac:dyDescent="0.55000000000000004">
      <c r="A321" s="11"/>
      <c r="C321" s="12" t="str">
        <f>IF(ISBLANK(B321), "", INDEX('কাস্টমার তালিকা'!$A$4:$A$305, MATCH(B321, 'কাস্টমার তালিকা'!$B$4:$B$305, 0)))</f>
        <v/>
      </c>
      <c r="D321" s="8"/>
      <c r="E321" s="8"/>
      <c r="F321" s="13"/>
      <c r="G321" s="14"/>
      <c r="H321" s="9">
        <f>IF(ISBLANK(C321), "", SUMIFS(F$2:F321, C$2:C321, C321) - SUMIFS(G$2:G321, C$2:C321, C321))</f>
        <v>0</v>
      </c>
    </row>
    <row r="322" spans="1:8" ht="18" customHeight="1" x14ac:dyDescent="0.55000000000000004">
      <c r="A322" s="11"/>
      <c r="C322" s="12" t="str">
        <f>IF(ISBLANK(B322), "", INDEX('কাস্টমার তালিকা'!$A$4:$A$305, MATCH(B322, 'কাস্টমার তালিকা'!$B$4:$B$305, 0)))</f>
        <v/>
      </c>
      <c r="D322" s="8"/>
      <c r="E322" s="8"/>
      <c r="F322" s="13"/>
      <c r="G322" s="14"/>
      <c r="H322" s="9">
        <f>IF(ISBLANK(C322), "", SUMIFS(F$2:F322, C$2:C322, C322) - SUMIFS(G$2:G322, C$2:C322, C322))</f>
        <v>0</v>
      </c>
    </row>
    <row r="323" spans="1:8" ht="18" customHeight="1" x14ac:dyDescent="0.55000000000000004">
      <c r="A323" s="11"/>
      <c r="C323" s="12" t="str">
        <f>IF(ISBLANK(B323), "", INDEX('কাস্টমার তালিকা'!$A$4:$A$305, MATCH(B323, 'কাস্টমার তালিকা'!$B$4:$B$305, 0)))</f>
        <v/>
      </c>
      <c r="D323" s="8"/>
      <c r="E323" s="8"/>
      <c r="F323" s="13"/>
      <c r="G323" s="14"/>
      <c r="H323" s="9">
        <f>IF(ISBLANK(C323), "", SUMIFS(F$2:F323, C$2:C323, C323) - SUMIFS(G$2:G323, C$2:C323, C323))</f>
        <v>0</v>
      </c>
    </row>
    <row r="324" spans="1:8" ht="18" customHeight="1" x14ac:dyDescent="0.55000000000000004">
      <c r="A324" s="11"/>
      <c r="C324" s="12" t="str">
        <f>IF(ISBLANK(B324), "", INDEX('কাস্টমার তালিকা'!$A$4:$A$305, MATCH(B324, 'কাস্টমার তালিকা'!$B$4:$B$305, 0)))</f>
        <v/>
      </c>
      <c r="D324" s="8"/>
      <c r="E324" s="8"/>
      <c r="F324" s="13"/>
      <c r="G324" s="14"/>
      <c r="H324" s="9">
        <f>IF(ISBLANK(C324), "", SUMIFS(F$2:F324, C$2:C324, C324) - SUMIFS(G$2:G324, C$2:C324, C324))</f>
        <v>0</v>
      </c>
    </row>
    <row r="325" spans="1:8" ht="18" customHeight="1" x14ac:dyDescent="0.55000000000000004">
      <c r="A325" s="11"/>
      <c r="C325" s="12" t="str">
        <f>IF(ISBLANK(B325), "", INDEX('কাস্টমার তালিকা'!$A$4:$A$305, MATCH(B325, 'কাস্টমার তালিকা'!$B$4:$B$305, 0)))</f>
        <v/>
      </c>
      <c r="D325" s="8"/>
      <c r="E325" s="8"/>
      <c r="F325" s="13"/>
      <c r="G325" s="14"/>
      <c r="H325" s="9">
        <f>IF(ISBLANK(C325), "", SUMIFS(F$2:F325, C$2:C325, C325) - SUMIFS(G$2:G325, C$2:C325, C325))</f>
        <v>0</v>
      </c>
    </row>
    <row r="326" spans="1:8" ht="18" customHeight="1" x14ac:dyDescent="0.55000000000000004">
      <c r="A326" s="11"/>
      <c r="C326" s="12" t="str">
        <f>IF(ISBLANK(B326), "", INDEX('কাস্টমার তালিকা'!$A$4:$A$305, MATCH(B326, 'কাস্টমার তালিকা'!$B$4:$B$305, 0)))</f>
        <v/>
      </c>
      <c r="D326" s="8"/>
      <c r="E326" s="8"/>
      <c r="F326" s="13"/>
      <c r="G326" s="14"/>
      <c r="H326" s="9">
        <f>IF(ISBLANK(C326), "", SUMIFS(F$2:F326, C$2:C326, C326) - SUMIFS(G$2:G326, C$2:C326, C326))</f>
        <v>0</v>
      </c>
    </row>
    <row r="327" spans="1:8" ht="18" customHeight="1" x14ac:dyDescent="0.55000000000000004">
      <c r="A327" s="11"/>
      <c r="C327" s="12" t="str">
        <f>IF(ISBLANK(B327), "", INDEX('কাস্টমার তালিকা'!$A$4:$A$305, MATCH(B327, 'কাস্টমার তালিকা'!$B$4:$B$305, 0)))</f>
        <v/>
      </c>
      <c r="D327" s="8"/>
      <c r="E327" s="8"/>
      <c r="F327" s="13"/>
      <c r="G327" s="14"/>
      <c r="H327" s="9">
        <f>IF(ISBLANK(C327), "", SUMIFS(F$2:F327, C$2:C327, C327) - SUMIFS(G$2:G327, C$2:C327, C327))</f>
        <v>0</v>
      </c>
    </row>
    <row r="328" spans="1:8" ht="18" customHeight="1" x14ac:dyDescent="0.55000000000000004">
      <c r="A328" s="11"/>
      <c r="C328" s="12" t="str">
        <f>IF(ISBLANK(B328), "", INDEX('কাস্টমার তালিকা'!$A$4:$A$305, MATCH(B328, 'কাস্টমার তালিকা'!$B$4:$B$305, 0)))</f>
        <v/>
      </c>
      <c r="D328" s="8"/>
      <c r="E328" s="8"/>
      <c r="F328" s="13"/>
      <c r="G328" s="14"/>
      <c r="H328" s="9">
        <f>IF(ISBLANK(C328), "", SUMIFS(F$2:F328, C$2:C328, C328) - SUMIFS(G$2:G328, C$2:C328, C328))</f>
        <v>0</v>
      </c>
    </row>
    <row r="329" spans="1:8" ht="18" customHeight="1" x14ac:dyDescent="0.55000000000000004">
      <c r="A329" s="11"/>
      <c r="C329" s="12" t="str">
        <f>IF(ISBLANK(B329), "", INDEX('কাস্টমার তালিকা'!$A$4:$A$305, MATCH(B329, 'কাস্টমার তালিকা'!$B$4:$B$305, 0)))</f>
        <v/>
      </c>
      <c r="D329" s="8"/>
      <c r="E329" s="8"/>
      <c r="F329" s="13"/>
      <c r="G329" s="14"/>
      <c r="H329" s="9">
        <f>IF(ISBLANK(C329), "", SUMIFS(F$2:F329, C$2:C329, C329) - SUMIFS(G$2:G329, C$2:C329, C329))</f>
        <v>0</v>
      </c>
    </row>
    <row r="330" spans="1:8" ht="18" customHeight="1" x14ac:dyDescent="0.55000000000000004">
      <c r="A330" s="11"/>
      <c r="C330" s="12" t="str">
        <f>IF(ISBLANK(B330), "", INDEX('কাস্টমার তালিকা'!$A$4:$A$305, MATCH(B330, 'কাস্টমার তালিকা'!$B$4:$B$305, 0)))</f>
        <v/>
      </c>
      <c r="D330" s="8"/>
      <c r="E330" s="8"/>
      <c r="F330" s="13"/>
      <c r="G330" s="14"/>
      <c r="H330" s="9">
        <f>IF(ISBLANK(C330), "", SUMIFS(F$2:F330, C$2:C330, C330) - SUMIFS(G$2:G330, C$2:C330, C330))</f>
        <v>0</v>
      </c>
    </row>
    <row r="331" spans="1:8" ht="18" customHeight="1" x14ac:dyDescent="0.55000000000000004">
      <c r="A331" s="11"/>
      <c r="C331" s="12" t="str">
        <f>IF(ISBLANK(B331), "", INDEX('কাস্টমার তালিকা'!$A$4:$A$305, MATCH(B331, 'কাস্টমার তালিকা'!$B$4:$B$305, 0)))</f>
        <v/>
      </c>
      <c r="D331" s="8"/>
      <c r="E331" s="8"/>
      <c r="F331" s="13"/>
      <c r="G331" s="14"/>
      <c r="H331" s="9">
        <f>IF(ISBLANK(C331), "", SUMIFS(F$2:F331, C$2:C331, C331) - SUMIFS(G$2:G331, C$2:C331, C331))</f>
        <v>0</v>
      </c>
    </row>
    <row r="332" spans="1:8" ht="18" customHeight="1" x14ac:dyDescent="0.55000000000000004">
      <c r="A332" s="11"/>
      <c r="C332" s="12" t="str">
        <f>IF(ISBLANK(B332), "", INDEX('কাস্টমার তালিকা'!$A$4:$A$305, MATCH(B332, 'কাস্টমার তালিকা'!$B$4:$B$305, 0)))</f>
        <v/>
      </c>
      <c r="D332" s="8"/>
      <c r="E332" s="8"/>
      <c r="F332" s="13"/>
      <c r="G332" s="14"/>
      <c r="H332" s="9">
        <f>IF(ISBLANK(C332), "", SUMIFS(F$2:F332, C$2:C332, C332) - SUMIFS(G$2:G332, C$2:C332, C332))</f>
        <v>0</v>
      </c>
    </row>
    <row r="333" spans="1:8" ht="18" customHeight="1" x14ac:dyDescent="0.55000000000000004">
      <c r="A333" s="11"/>
      <c r="C333" s="12" t="str">
        <f>IF(ISBLANK(B333), "", INDEX('কাস্টমার তালিকা'!$A$4:$A$305, MATCH(B333, 'কাস্টমার তালিকা'!$B$4:$B$305, 0)))</f>
        <v/>
      </c>
      <c r="D333" s="8"/>
      <c r="E333" s="8"/>
      <c r="F333" s="13"/>
      <c r="G333" s="14"/>
      <c r="H333" s="9">
        <f>IF(ISBLANK(C333), "", SUMIFS(F$2:F333, C$2:C333, C333) - SUMIFS(G$2:G333, C$2:C333, C333))</f>
        <v>0</v>
      </c>
    </row>
    <row r="334" spans="1:8" ht="18" customHeight="1" x14ac:dyDescent="0.55000000000000004">
      <c r="A334" s="11"/>
      <c r="C334" s="12" t="str">
        <f>IF(ISBLANK(B334), "", INDEX('কাস্টমার তালিকা'!$A$4:$A$305, MATCH(B334, 'কাস্টমার তালিকা'!$B$4:$B$305, 0)))</f>
        <v/>
      </c>
      <c r="D334" s="8"/>
      <c r="E334" s="8"/>
      <c r="F334" s="13"/>
      <c r="G334" s="14"/>
      <c r="H334" s="9">
        <f>IF(ISBLANK(C334), "", SUMIFS(F$2:F334, C$2:C334, C334) - SUMIFS(G$2:G334, C$2:C334, C334))</f>
        <v>0</v>
      </c>
    </row>
    <row r="335" spans="1:8" ht="18" customHeight="1" x14ac:dyDescent="0.55000000000000004">
      <c r="A335" s="11"/>
      <c r="C335" s="12" t="str">
        <f>IF(ISBLANK(B335), "", INDEX('কাস্টমার তালিকা'!$A$4:$A$305, MATCH(B335, 'কাস্টমার তালিকা'!$B$4:$B$305, 0)))</f>
        <v/>
      </c>
      <c r="D335" s="8"/>
      <c r="E335" s="8"/>
      <c r="F335" s="13"/>
      <c r="G335" s="14"/>
      <c r="H335" s="9">
        <f>IF(ISBLANK(C335), "", SUMIFS(F$2:F335, C$2:C335, C335) - SUMIFS(G$2:G335, C$2:C335, C335))</f>
        <v>0</v>
      </c>
    </row>
    <row r="336" spans="1:8" ht="18" customHeight="1" x14ac:dyDescent="0.55000000000000004">
      <c r="A336" s="11"/>
      <c r="C336" s="12" t="str">
        <f>IF(ISBLANK(B336), "", INDEX('কাস্টমার তালিকা'!$A$4:$A$305, MATCH(B336, 'কাস্টমার তালিকা'!$B$4:$B$305, 0)))</f>
        <v/>
      </c>
      <c r="D336" s="8"/>
      <c r="E336" s="8"/>
      <c r="F336" s="13"/>
      <c r="G336" s="14"/>
      <c r="H336" s="9">
        <f>IF(ISBLANK(C336), "", SUMIFS(F$2:F336, C$2:C336, C336) - SUMIFS(G$2:G336, C$2:C336, C336))</f>
        <v>0</v>
      </c>
    </row>
    <row r="337" spans="1:8" ht="18" customHeight="1" x14ac:dyDescent="0.55000000000000004">
      <c r="A337" s="11"/>
      <c r="C337" s="12" t="str">
        <f>IF(ISBLANK(B337), "", INDEX('কাস্টমার তালিকা'!$A$4:$A$305, MATCH(B337, 'কাস্টমার তালিকা'!$B$4:$B$305, 0)))</f>
        <v/>
      </c>
      <c r="D337" s="8"/>
      <c r="E337" s="8"/>
      <c r="F337" s="13"/>
      <c r="G337" s="14"/>
      <c r="H337" s="9">
        <f>IF(ISBLANK(C337), "", SUMIFS(F$2:F337, C$2:C337, C337) - SUMIFS(G$2:G337, C$2:C337, C337))</f>
        <v>0</v>
      </c>
    </row>
    <row r="338" spans="1:8" ht="18" customHeight="1" x14ac:dyDescent="0.55000000000000004">
      <c r="A338" s="11"/>
      <c r="C338" s="12" t="str">
        <f>IF(ISBLANK(B338), "", INDEX('কাস্টমার তালিকা'!$A$4:$A$305, MATCH(B338, 'কাস্টমার তালিকা'!$B$4:$B$305, 0)))</f>
        <v/>
      </c>
      <c r="D338" s="8"/>
      <c r="E338" s="8"/>
      <c r="F338" s="13"/>
      <c r="G338" s="14"/>
      <c r="H338" s="9">
        <f>IF(ISBLANK(C338), "", SUMIFS(F$2:F338, C$2:C338, C338) - SUMIFS(G$2:G338, C$2:C338, C338))</f>
        <v>0</v>
      </c>
    </row>
    <row r="339" spans="1:8" ht="18" customHeight="1" x14ac:dyDescent="0.55000000000000004">
      <c r="A339" s="11"/>
      <c r="C339" s="12" t="str">
        <f>IF(ISBLANK(B339), "", INDEX('কাস্টমার তালিকা'!$A$4:$A$305, MATCH(B339, 'কাস্টমার তালিকা'!$B$4:$B$305, 0)))</f>
        <v/>
      </c>
      <c r="D339" s="8"/>
      <c r="E339" s="8"/>
      <c r="F339" s="13"/>
      <c r="G339" s="14"/>
      <c r="H339" s="9">
        <f>IF(ISBLANK(C339), "", SUMIFS(F$2:F339, C$2:C339, C339) - SUMIFS(G$2:G339, C$2:C339, C339))</f>
        <v>0</v>
      </c>
    </row>
    <row r="340" spans="1:8" ht="18" customHeight="1" x14ac:dyDescent="0.55000000000000004">
      <c r="A340" s="11"/>
      <c r="C340" s="12" t="str">
        <f>IF(ISBLANK(B340), "", INDEX('কাস্টমার তালিকা'!$A$4:$A$305, MATCH(B340, 'কাস্টমার তালিকা'!$B$4:$B$305, 0)))</f>
        <v/>
      </c>
      <c r="D340" s="8"/>
      <c r="E340" s="8"/>
      <c r="F340" s="13"/>
      <c r="G340" s="14"/>
      <c r="H340" s="9">
        <f>IF(ISBLANK(C340), "", SUMIFS(F$2:F340, C$2:C340, C340) - SUMIFS(G$2:G340, C$2:C340, C340))</f>
        <v>0</v>
      </c>
    </row>
    <row r="341" spans="1:8" ht="18" customHeight="1" x14ac:dyDescent="0.55000000000000004">
      <c r="A341" s="11"/>
      <c r="C341" s="12" t="str">
        <f>IF(ISBLANK(B341), "", INDEX('কাস্টমার তালিকা'!$A$4:$A$305, MATCH(B341, 'কাস্টমার তালিকা'!$B$4:$B$305, 0)))</f>
        <v/>
      </c>
      <c r="D341" s="8"/>
      <c r="E341" s="8"/>
      <c r="F341" s="13"/>
      <c r="G341" s="14"/>
      <c r="H341" s="9">
        <f>IF(ISBLANK(C341), "", SUMIFS(F$2:F341, C$2:C341, C341) - SUMIFS(G$2:G341, C$2:C341, C341))</f>
        <v>0</v>
      </c>
    </row>
    <row r="342" spans="1:8" ht="18" customHeight="1" x14ac:dyDescent="0.55000000000000004">
      <c r="A342" s="11"/>
      <c r="C342" s="12" t="str">
        <f>IF(ISBLANK(B342), "", INDEX('কাস্টমার তালিকা'!$A$4:$A$305, MATCH(B342, 'কাস্টমার তালিকা'!$B$4:$B$305, 0)))</f>
        <v/>
      </c>
      <c r="D342" s="8"/>
      <c r="E342" s="8"/>
      <c r="F342" s="13"/>
      <c r="G342" s="14"/>
      <c r="H342" s="9">
        <f>IF(ISBLANK(C342), "", SUMIFS(F$2:F342, C$2:C342, C342) - SUMIFS(G$2:G342, C$2:C342, C342))</f>
        <v>0</v>
      </c>
    </row>
    <row r="343" spans="1:8" ht="18" customHeight="1" x14ac:dyDescent="0.55000000000000004">
      <c r="A343" s="11"/>
      <c r="C343" s="12" t="str">
        <f>IF(ISBLANK(B343), "", INDEX('কাস্টমার তালিকা'!$A$4:$A$305, MATCH(B343, 'কাস্টমার তালিকা'!$B$4:$B$305, 0)))</f>
        <v/>
      </c>
      <c r="D343" s="8"/>
      <c r="E343" s="8"/>
      <c r="F343" s="13"/>
      <c r="G343" s="14"/>
      <c r="H343" s="9">
        <f>IF(ISBLANK(C343), "", SUMIFS(F$2:F343, C$2:C343, C343) - SUMIFS(G$2:G343, C$2:C343, C343))</f>
        <v>0</v>
      </c>
    </row>
    <row r="344" spans="1:8" ht="18" customHeight="1" x14ac:dyDescent="0.55000000000000004">
      <c r="A344" s="11"/>
      <c r="C344" s="12" t="str">
        <f>IF(ISBLANK(B344), "", INDEX('কাস্টমার তালিকা'!$A$4:$A$305, MATCH(B344, 'কাস্টমার তালিকা'!$B$4:$B$305, 0)))</f>
        <v/>
      </c>
      <c r="D344" s="8"/>
      <c r="E344" s="8"/>
      <c r="F344" s="13"/>
      <c r="G344" s="14"/>
      <c r="H344" s="9">
        <f>IF(ISBLANK(C344), "", SUMIFS(F$2:F344, C$2:C344, C344) - SUMIFS(G$2:G344, C$2:C344, C344))</f>
        <v>0</v>
      </c>
    </row>
    <row r="345" spans="1:8" ht="18" customHeight="1" x14ac:dyDescent="0.55000000000000004">
      <c r="A345" s="11"/>
      <c r="C345" s="12" t="str">
        <f>IF(ISBLANK(B345), "", INDEX('কাস্টমার তালিকা'!$A$4:$A$305, MATCH(B345, 'কাস্টমার তালিকা'!$B$4:$B$305, 0)))</f>
        <v/>
      </c>
      <c r="D345" s="8"/>
      <c r="E345" s="8"/>
      <c r="F345" s="13"/>
      <c r="G345" s="14"/>
      <c r="H345" s="9">
        <f>IF(ISBLANK(C345), "", SUMIFS(F$2:F345, C$2:C345, C345) - SUMIFS(G$2:G345, C$2:C345, C345))</f>
        <v>0</v>
      </c>
    </row>
    <row r="346" spans="1:8" ht="18" customHeight="1" x14ac:dyDescent="0.55000000000000004">
      <c r="A346" s="11"/>
      <c r="C346" s="12" t="str">
        <f>IF(ISBLANK(B346), "", INDEX('কাস্টমার তালিকা'!$A$4:$A$305, MATCH(B346, 'কাস্টমার তালিকা'!$B$4:$B$305, 0)))</f>
        <v/>
      </c>
      <c r="D346" s="8"/>
      <c r="E346" s="8"/>
      <c r="F346" s="13"/>
      <c r="G346" s="14"/>
      <c r="H346" s="9">
        <f>IF(ISBLANK(C346), "", SUMIFS(F$2:F346, C$2:C346, C346) - SUMIFS(G$2:G346, C$2:C346, C346))</f>
        <v>0</v>
      </c>
    </row>
    <row r="347" spans="1:8" ht="18" customHeight="1" x14ac:dyDescent="0.55000000000000004">
      <c r="A347" s="11"/>
      <c r="C347" s="12" t="str">
        <f>IF(ISBLANK(B347), "", INDEX('কাস্টমার তালিকা'!$A$4:$A$305, MATCH(B347, 'কাস্টমার তালিকা'!$B$4:$B$305, 0)))</f>
        <v/>
      </c>
      <c r="D347" s="8"/>
      <c r="E347" s="8"/>
      <c r="F347" s="13"/>
      <c r="G347" s="14"/>
      <c r="H347" s="9">
        <f>IF(ISBLANK(C347), "", SUMIFS(F$2:F347, C$2:C347, C347) - SUMIFS(G$2:G347, C$2:C347, C347))</f>
        <v>0</v>
      </c>
    </row>
    <row r="348" spans="1:8" ht="18" customHeight="1" x14ac:dyDescent="0.55000000000000004">
      <c r="A348" s="11"/>
      <c r="C348" s="12" t="str">
        <f>IF(ISBLANK(B348), "", INDEX('কাস্টমার তালিকা'!$A$4:$A$305, MATCH(B348, 'কাস্টমার তালিকা'!$B$4:$B$305, 0)))</f>
        <v/>
      </c>
      <c r="D348" s="8"/>
      <c r="E348" s="8"/>
      <c r="F348" s="13"/>
      <c r="G348" s="14"/>
      <c r="H348" s="9">
        <f>IF(ISBLANK(C348), "", SUMIFS(F$2:F348, C$2:C348, C348) - SUMIFS(G$2:G348, C$2:C348, C348))</f>
        <v>0</v>
      </c>
    </row>
    <row r="349" spans="1:8" ht="18" customHeight="1" x14ac:dyDescent="0.55000000000000004">
      <c r="A349" s="11"/>
      <c r="C349" s="12" t="str">
        <f>IF(ISBLANK(B349), "", INDEX('কাস্টমার তালিকা'!$A$4:$A$305, MATCH(B349, 'কাস্টমার তালিকা'!$B$4:$B$305, 0)))</f>
        <v/>
      </c>
      <c r="D349" s="8"/>
      <c r="E349" s="8"/>
      <c r="F349" s="13"/>
      <c r="G349" s="14"/>
      <c r="H349" s="9">
        <f>IF(ISBLANK(C349), "", SUMIFS(F$2:F349, C$2:C349, C349) - SUMIFS(G$2:G349, C$2:C349, C349))</f>
        <v>0</v>
      </c>
    </row>
    <row r="350" spans="1:8" ht="18" customHeight="1" x14ac:dyDescent="0.55000000000000004">
      <c r="A350" s="11"/>
      <c r="C350" s="12" t="str">
        <f>IF(ISBLANK(B350), "", INDEX('কাস্টমার তালিকা'!$A$4:$A$305, MATCH(B350, 'কাস্টমার তালিকা'!$B$4:$B$305, 0)))</f>
        <v/>
      </c>
      <c r="D350" s="8"/>
      <c r="E350" s="8"/>
      <c r="F350" s="13"/>
      <c r="G350" s="14"/>
      <c r="H350" s="9">
        <f>IF(ISBLANK(C350), "", SUMIFS(F$2:F350, C$2:C350, C350) - SUMIFS(G$2:G350, C$2:C350, C350))</f>
        <v>0</v>
      </c>
    </row>
    <row r="351" spans="1:8" ht="18" customHeight="1" x14ac:dyDescent="0.55000000000000004">
      <c r="A351" s="11"/>
      <c r="C351" s="12" t="str">
        <f>IF(ISBLANK(B351), "", INDEX('কাস্টমার তালিকা'!$A$4:$A$305, MATCH(B351, 'কাস্টমার তালিকা'!$B$4:$B$305, 0)))</f>
        <v/>
      </c>
      <c r="D351" s="8"/>
      <c r="E351" s="8"/>
      <c r="F351" s="13"/>
      <c r="G351" s="14"/>
      <c r="H351" s="9">
        <f>IF(ISBLANK(C351), "", SUMIFS(F$2:F351, C$2:C351, C351) - SUMIFS(G$2:G351, C$2:C351, C351))</f>
        <v>0</v>
      </c>
    </row>
    <row r="352" spans="1:8" ht="18" customHeight="1" x14ac:dyDescent="0.55000000000000004">
      <c r="A352" s="11"/>
      <c r="C352" s="12" t="str">
        <f>IF(ISBLANK(B352), "", INDEX('কাস্টমার তালিকা'!$A$4:$A$305, MATCH(B352, 'কাস্টমার তালিকা'!$B$4:$B$305, 0)))</f>
        <v/>
      </c>
      <c r="D352" s="8"/>
      <c r="E352" s="8"/>
      <c r="F352" s="13"/>
      <c r="G352" s="14"/>
      <c r="H352" s="9">
        <f>IF(ISBLANK(C352), "", SUMIFS(F$2:F352, C$2:C352, C352) - SUMIFS(G$2:G352, C$2:C352, C352))</f>
        <v>0</v>
      </c>
    </row>
    <row r="353" spans="1:8" ht="18" customHeight="1" x14ac:dyDescent="0.55000000000000004">
      <c r="A353" s="11"/>
      <c r="C353" s="12" t="str">
        <f>IF(ISBLANK(B353), "", INDEX('কাস্টমার তালিকা'!$A$4:$A$305, MATCH(B353, 'কাস্টমার তালিকা'!$B$4:$B$305, 0)))</f>
        <v/>
      </c>
      <c r="D353" s="8"/>
      <c r="E353" s="8"/>
      <c r="F353" s="13"/>
      <c r="G353" s="14"/>
      <c r="H353" s="9">
        <f>IF(ISBLANK(C353), "", SUMIFS(F$2:F353, C$2:C353, C353) - SUMIFS(G$2:G353, C$2:C353, C353))</f>
        <v>0</v>
      </c>
    </row>
    <row r="354" spans="1:8" ht="18" customHeight="1" x14ac:dyDescent="0.55000000000000004">
      <c r="A354" s="11"/>
      <c r="C354" s="12" t="str">
        <f>IF(ISBLANK(B354), "", INDEX('কাস্টমার তালিকা'!$A$4:$A$305, MATCH(B354, 'কাস্টমার তালিকা'!$B$4:$B$305, 0)))</f>
        <v/>
      </c>
      <c r="D354" s="8"/>
      <c r="E354" s="8"/>
      <c r="F354" s="13"/>
      <c r="G354" s="14"/>
      <c r="H354" s="9">
        <f>IF(ISBLANK(C354), "", SUMIFS(F$2:F354, C$2:C354, C354) - SUMIFS(G$2:G354, C$2:C354, C354))</f>
        <v>0</v>
      </c>
    </row>
    <row r="355" spans="1:8" ht="18" customHeight="1" x14ac:dyDescent="0.55000000000000004">
      <c r="A355" s="11"/>
      <c r="C355" s="12" t="str">
        <f>IF(ISBLANK(B355), "", INDEX('কাস্টমার তালিকা'!$A$4:$A$305, MATCH(B355, 'কাস্টমার তালিকা'!$B$4:$B$305, 0)))</f>
        <v/>
      </c>
      <c r="D355" s="8"/>
      <c r="E355" s="8"/>
      <c r="F355" s="13"/>
      <c r="G355" s="14"/>
      <c r="H355" s="9">
        <f>IF(ISBLANK(C355), "", SUMIFS(F$2:F355, C$2:C355, C355) - SUMIFS(G$2:G355, C$2:C355, C355))</f>
        <v>0</v>
      </c>
    </row>
    <row r="356" spans="1:8" ht="18" customHeight="1" x14ac:dyDescent="0.55000000000000004">
      <c r="A356" s="11"/>
      <c r="C356" s="12" t="str">
        <f>IF(ISBLANK(B356), "", INDEX('কাস্টমার তালিকা'!$A$4:$A$305, MATCH(B356, 'কাস্টমার তালিকা'!$B$4:$B$305, 0)))</f>
        <v/>
      </c>
      <c r="D356" s="8"/>
      <c r="E356" s="8"/>
      <c r="F356" s="13"/>
      <c r="G356" s="14"/>
      <c r="H356" s="9">
        <f>IF(ISBLANK(C356), "", SUMIFS(F$2:F356, C$2:C356, C356) - SUMIFS(G$2:G356, C$2:C356, C356))</f>
        <v>0</v>
      </c>
    </row>
    <row r="357" spans="1:8" ht="18" customHeight="1" x14ac:dyDescent="0.55000000000000004">
      <c r="A357" s="11"/>
      <c r="C357" s="12" t="str">
        <f>IF(ISBLANK(B357), "", INDEX('কাস্টমার তালিকা'!$A$4:$A$305, MATCH(B357, 'কাস্টমার তালিকা'!$B$4:$B$305, 0)))</f>
        <v/>
      </c>
      <c r="D357" s="8"/>
      <c r="E357" s="8"/>
      <c r="F357" s="13"/>
      <c r="G357" s="14"/>
      <c r="H357" s="9">
        <f>IF(ISBLANK(C357), "", SUMIFS(F$2:F357, C$2:C357, C357) - SUMIFS(G$2:G357, C$2:C357, C357))</f>
        <v>0</v>
      </c>
    </row>
    <row r="358" spans="1:8" ht="18" customHeight="1" x14ac:dyDescent="0.55000000000000004">
      <c r="A358" s="11"/>
      <c r="C358" s="12" t="str">
        <f>IF(ISBLANK(B358), "", INDEX('কাস্টমার তালিকা'!$A$4:$A$305, MATCH(B358, 'কাস্টমার তালিকা'!$B$4:$B$305, 0)))</f>
        <v/>
      </c>
      <c r="D358" s="8"/>
      <c r="E358" s="8"/>
      <c r="F358" s="13"/>
      <c r="G358" s="14"/>
      <c r="H358" s="9">
        <f>IF(ISBLANK(C358), "", SUMIFS(F$2:F358, C$2:C358, C358) - SUMIFS(G$2:G358, C$2:C358, C358))</f>
        <v>0</v>
      </c>
    </row>
    <row r="359" spans="1:8" ht="18" customHeight="1" x14ac:dyDescent="0.55000000000000004">
      <c r="A359" s="11"/>
      <c r="C359" s="12" t="str">
        <f>IF(ISBLANK(B359), "", INDEX('কাস্টমার তালিকা'!$A$4:$A$305, MATCH(B359, 'কাস্টমার তালিকা'!$B$4:$B$305, 0)))</f>
        <v/>
      </c>
      <c r="D359" s="8"/>
      <c r="E359" s="8"/>
      <c r="F359" s="13"/>
      <c r="G359" s="14"/>
      <c r="H359" s="9">
        <f>IF(ISBLANK(C359), "", SUMIFS(F$2:F359, C$2:C359, C359) - SUMIFS(G$2:G359, C$2:C359, C359))</f>
        <v>0</v>
      </c>
    </row>
    <row r="360" spans="1:8" ht="18" customHeight="1" x14ac:dyDescent="0.55000000000000004">
      <c r="A360" s="11"/>
      <c r="C360" s="12" t="str">
        <f>IF(ISBLANK(B360), "", INDEX('কাস্টমার তালিকা'!$A$4:$A$305, MATCH(B360, 'কাস্টমার তালিকা'!$B$4:$B$305, 0)))</f>
        <v/>
      </c>
      <c r="D360" s="8"/>
      <c r="E360" s="8"/>
      <c r="F360" s="13"/>
      <c r="G360" s="14"/>
      <c r="H360" s="9">
        <f>IF(ISBLANK(C360), "", SUMIFS(F$2:F360, C$2:C360, C360) - SUMIFS(G$2:G360, C$2:C360, C360))</f>
        <v>0</v>
      </c>
    </row>
    <row r="361" spans="1:8" ht="18" customHeight="1" x14ac:dyDescent="0.55000000000000004">
      <c r="A361" s="11"/>
      <c r="C361" s="12" t="str">
        <f>IF(ISBLANK(B361), "", INDEX('কাস্টমার তালিকা'!$A$4:$A$305, MATCH(B361, 'কাস্টমার তালিকা'!$B$4:$B$305, 0)))</f>
        <v/>
      </c>
      <c r="D361" s="8"/>
      <c r="E361" s="8"/>
      <c r="F361" s="13"/>
      <c r="G361" s="14"/>
      <c r="H361" s="9">
        <f>IF(ISBLANK(C361), "", SUMIFS(F$2:F361, C$2:C361, C361) - SUMIFS(G$2:G361, C$2:C361, C361))</f>
        <v>0</v>
      </c>
    </row>
    <row r="362" spans="1:8" ht="18" customHeight="1" x14ac:dyDescent="0.55000000000000004">
      <c r="A362" s="11"/>
      <c r="C362" s="12" t="str">
        <f>IF(ISBLANK(B362), "", INDEX('কাস্টমার তালিকা'!$A$4:$A$305, MATCH(B362, 'কাস্টমার তালিকা'!$B$4:$B$305, 0)))</f>
        <v/>
      </c>
      <c r="D362" s="8"/>
      <c r="E362" s="8"/>
      <c r="F362" s="13"/>
      <c r="G362" s="14"/>
      <c r="H362" s="9">
        <f>IF(ISBLANK(C362), "", SUMIFS(F$2:F362, C$2:C362, C362) - SUMIFS(G$2:G362, C$2:C362, C362))</f>
        <v>0</v>
      </c>
    </row>
    <row r="363" spans="1:8" ht="18" customHeight="1" x14ac:dyDescent="0.55000000000000004">
      <c r="A363" s="11"/>
      <c r="C363" s="12" t="str">
        <f>IF(ISBLANK(B363), "", INDEX('কাস্টমার তালিকা'!$A$4:$A$305, MATCH(B363, 'কাস্টমার তালিকা'!$B$4:$B$305, 0)))</f>
        <v/>
      </c>
      <c r="D363" s="8"/>
      <c r="E363" s="8"/>
      <c r="F363" s="13"/>
      <c r="G363" s="14"/>
      <c r="H363" s="9">
        <f>IF(ISBLANK(C363), "", SUMIFS(F$2:F363, C$2:C363, C363) - SUMIFS(G$2:G363, C$2:C363, C363))</f>
        <v>0</v>
      </c>
    </row>
    <row r="364" spans="1:8" ht="18" customHeight="1" x14ac:dyDescent="0.55000000000000004">
      <c r="A364" s="11"/>
      <c r="C364" s="12" t="str">
        <f>IF(ISBLANK(B364), "", INDEX('কাস্টমার তালিকা'!$A$4:$A$305, MATCH(B364, 'কাস্টমার তালিকা'!$B$4:$B$305, 0)))</f>
        <v/>
      </c>
      <c r="D364" s="8"/>
      <c r="E364" s="8"/>
      <c r="F364" s="13"/>
      <c r="G364" s="14"/>
      <c r="H364" s="9">
        <f>IF(ISBLANK(C364), "", SUMIFS(F$2:F364, C$2:C364, C364) - SUMIFS(G$2:G364, C$2:C364, C364))</f>
        <v>0</v>
      </c>
    </row>
    <row r="365" spans="1:8" ht="18" customHeight="1" x14ac:dyDescent="0.55000000000000004">
      <c r="A365" s="11"/>
      <c r="C365" s="12" t="str">
        <f>IF(ISBLANK(B365), "", INDEX('কাস্টমার তালিকা'!$A$4:$A$305, MATCH(B365, 'কাস্টমার তালিকা'!$B$4:$B$305, 0)))</f>
        <v/>
      </c>
      <c r="D365" s="8"/>
      <c r="E365" s="8"/>
      <c r="F365" s="13"/>
      <c r="G365" s="14"/>
      <c r="H365" s="9">
        <f>IF(ISBLANK(C365), "", SUMIFS(F$2:F365, C$2:C365, C365) - SUMIFS(G$2:G365, C$2:C365, C365))</f>
        <v>0</v>
      </c>
    </row>
    <row r="366" spans="1:8" ht="18" customHeight="1" x14ac:dyDescent="0.55000000000000004">
      <c r="A366" s="11"/>
      <c r="C366" s="12" t="str">
        <f>IF(ISBLANK(B366), "", INDEX('কাস্টমার তালিকা'!$A$4:$A$305, MATCH(B366, 'কাস্টমার তালিকা'!$B$4:$B$305, 0)))</f>
        <v/>
      </c>
      <c r="D366" s="8"/>
      <c r="E366" s="8"/>
      <c r="F366" s="13"/>
      <c r="G366" s="14"/>
      <c r="H366" s="9">
        <f>IF(ISBLANK(C366), "", SUMIFS(F$2:F366, C$2:C366, C366) - SUMIFS(G$2:G366, C$2:C366, C366))</f>
        <v>0</v>
      </c>
    </row>
    <row r="367" spans="1:8" ht="18" customHeight="1" x14ac:dyDescent="0.55000000000000004">
      <c r="A367" s="11"/>
      <c r="C367" s="12" t="str">
        <f>IF(ISBLANK(B367), "", INDEX('কাস্টমার তালিকা'!$A$4:$A$305, MATCH(B367, 'কাস্টমার তালিকা'!$B$4:$B$305, 0)))</f>
        <v/>
      </c>
      <c r="D367" s="8"/>
      <c r="E367" s="8"/>
      <c r="F367" s="13"/>
      <c r="G367" s="14"/>
      <c r="H367" s="9">
        <f>IF(ISBLANK(C367), "", SUMIFS(F$2:F367, C$2:C367, C367) - SUMIFS(G$2:G367, C$2:C367, C367))</f>
        <v>0</v>
      </c>
    </row>
    <row r="368" spans="1:8" ht="18" customHeight="1" x14ac:dyDescent="0.55000000000000004">
      <c r="A368" s="11"/>
      <c r="C368" s="12" t="str">
        <f>IF(ISBLANK(B368), "", INDEX('কাস্টমার তালিকা'!$A$4:$A$305, MATCH(B368, 'কাস্টমার তালিকা'!$B$4:$B$305, 0)))</f>
        <v/>
      </c>
      <c r="D368" s="8"/>
      <c r="E368" s="8"/>
      <c r="F368" s="13"/>
      <c r="G368" s="14"/>
      <c r="H368" s="9">
        <f>IF(ISBLANK(C368), "", SUMIFS(F$2:F368, C$2:C368, C368) - SUMIFS(G$2:G368, C$2:C368, C368))</f>
        <v>0</v>
      </c>
    </row>
    <row r="369" spans="1:8" ht="18" customHeight="1" x14ac:dyDescent="0.55000000000000004">
      <c r="A369" s="11"/>
      <c r="C369" s="12" t="str">
        <f>IF(ISBLANK(B369), "", INDEX('কাস্টমার তালিকা'!$A$4:$A$305, MATCH(B369, 'কাস্টমার তালিকা'!$B$4:$B$305, 0)))</f>
        <v/>
      </c>
      <c r="D369" s="8"/>
      <c r="E369" s="8"/>
      <c r="F369" s="13"/>
      <c r="G369" s="14"/>
      <c r="H369" s="9">
        <f>IF(ISBLANK(C369), "", SUMIFS(F$2:F369, C$2:C369, C369) - SUMIFS(G$2:G369, C$2:C369, C369))</f>
        <v>0</v>
      </c>
    </row>
    <row r="370" spans="1:8" ht="18" customHeight="1" x14ac:dyDescent="0.55000000000000004">
      <c r="A370" s="11"/>
      <c r="C370" s="12" t="str">
        <f>IF(ISBLANK(B370), "", INDEX('কাস্টমার তালিকা'!$A$4:$A$305, MATCH(B370, 'কাস্টমার তালিকা'!$B$4:$B$305, 0)))</f>
        <v/>
      </c>
      <c r="D370" s="8"/>
      <c r="E370" s="8"/>
      <c r="F370" s="13"/>
      <c r="G370" s="14"/>
      <c r="H370" s="9">
        <f>IF(ISBLANK(C370), "", SUMIFS(F$2:F370, C$2:C370, C370) - SUMIFS(G$2:G370, C$2:C370, C370))</f>
        <v>0</v>
      </c>
    </row>
    <row r="371" spans="1:8" ht="18" customHeight="1" x14ac:dyDescent="0.55000000000000004">
      <c r="A371" s="11"/>
      <c r="C371" s="12" t="str">
        <f>IF(ISBLANK(B371), "", INDEX('কাস্টমার তালিকা'!$A$4:$A$305, MATCH(B371, 'কাস্টমার তালিকা'!$B$4:$B$305, 0)))</f>
        <v/>
      </c>
      <c r="D371" s="8"/>
      <c r="E371" s="8"/>
      <c r="F371" s="13"/>
      <c r="G371" s="14"/>
      <c r="H371" s="9">
        <f>IF(ISBLANK(C371), "", SUMIFS(F$2:F371, C$2:C371, C371) - SUMIFS(G$2:G371, C$2:C371, C371))</f>
        <v>0</v>
      </c>
    </row>
    <row r="372" spans="1:8" ht="18" customHeight="1" x14ac:dyDescent="0.55000000000000004">
      <c r="A372" s="11"/>
      <c r="C372" s="12" t="str">
        <f>IF(ISBLANK(B372), "", INDEX('কাস্টমার তালিকা'!$A$4:$A$305, MATCH(B372, 'কাস্টমার তালিকা'!$B$4:$B$305, 0)))</f>
        <v/>
      </c>
      <c r="D372" s="8"/>
      <c r="E372" s="8"/>
      <c r="F372" s="13"/>
      <c r="G372" s="14"/>
      <c r="H372" s="9">
        <f>IF(ISBLANK(C372), "", SUMIFS(F$2:F372, C$2:C372, C372) - SUMIFS(G$2:G372, C$2:C372, C372))</f>
        <v>0</v>
      </c>
    </row>
    <row r="373" spans="1:8" ht="18" customHeight="1" x14ac:dyDescent="0.55000000000000004">
      <c r="A373" s="11"/>
      <c r="C373" s="12" t="str">
        <f>IF(ISBLANK(B373), "", INDEX('কাস্টমার তালিকা'!$A$4:$A$305, MATCH(B373, 'কাস্টমার তালিকা'!$B$4:$B$305, 0)))</f>
        <v/>
      </c>
      <c r="D373" s="8"/>
      <c r="E373" s="8"/>
      <c r="F373" s="13"/>
      <c r="G373" s="14"/>
      <c r="H373" s="9">
        <f>IF(ISBLANK(C373), "", SUMIFS(F$2:F373, C$2:C373, C373) - SUMIFS(G$2:G373, C$2:C373, C373))</f>
        <v>0</v>
      </c>
    </row>
    <row r="374" spans="1:8" ht="18" customHeight="1" x14ac:dyDescent="0.55000000000000004">
      <c r="A374" s="11"/>
      <c r="C374" s="12" t="str">
        <f>IF(ISBLANK(B374), "", INDEX('কাস্টমার তালিকা'!$A$4:$A$305, MATCH(B374, 'কাস্টমার তালিকা'!$B$4:$B$305, 0)))</f>
        <v/>
      </c>
      <c r="D374" s="8"/>
      <c r="E374" s="8"/>
      <c r="F374" s="13"/>
      <c r="G374" s="14"/>
      <c r="H374" s="9">
        <f>IF(ISBLANK(C374), "", SUMIFS(F$2:F374, C$2:C374, C374) - SUMIFS(G$2:G374, C$2:C374, C374))</f>
        <v>0</v>
      </c>
    </row>
    <row r="375" spans="1:8" ht="18" customHeight="1" x14ac:dyDescent="0.55000000000000004">
      <c r="A375" s="11"/>
      <c r="C375" s="12" t="str">
        <f>IF(ISBLANK(B375), "", INDEX('কাস্টমার তালিকা'!$A$4:$A$305, MATCH(B375, 'কাস্টমার তালিকা'!$B$4:$B$305, 0)))</f>
        <v/>
      </c>
      <c r="D375" s="8"/>
      <c r="E375" s="8"/>
      <c r="F375" s="13"/>
      <c r="G375" s="14"/>
      <c r="H375" s="9">
        <f>IF(ISBLANK(C375), "", SUMIFS(F$2:F375, C$2:C375, C375) - SUMIFS(G$2:G375, C$2:C375, C375))</f>
        <v>0</v>
      </c>
    </row>
    <row r="376" spans="1:8" ht="18" customHeight="1" x14ac:dyDescent="0.55000000000000004">
      <c r="A376" s="11"/>
      <c r="C376" s="12" t="str">
        <f>IF(ISBLANK(B376), "", INDEX('কাস্টমার তালিকা'!$A$4:$A$305, MATCH(B376, 'কাস্টমার তালিকা'!$B$4:$B$305, 0)))</f>
        <v/>
      </c>
      <c r="D376" s="8"/>
      <c r="E376" s="8"/>
      <c r="F376" s="13"/>
      <c r="G376" s="14"/>
      <c r="H376" s="9">
        <f>IF(ISBLANK(C376), "", SUMIFS(F$2:F376, C$2:C376, C376) - SUMIFS(G$2:G376, C$2:C376, C376))</f>
        <v>0</v>
      </c>
    </row>
    <row r="377" spans="1:8" ht="18" customHeight="1" x14ac:dyDescent="0.55000000000000004">
      <c r="A377" s="11"/>
      <c r="C377" s="12" t="str">
        <f>IF(ISBLANK(B377), "", INDEX('কাস্টমার তালিকা'!$A$4:$A$305, MATCH(B377, 'কাস্টমার তালিকা'!$B$4:$B$305, 0)))</f>
        <v/>
      </c>
      <c r="D377" s="8"/>
      <c r="E377" s="8"/>
      <c r="F377" s="13"/>
      <c r="G377" s="14"/>
      <c r="H377" s="9">
        <f>IF(ISBLANK(C377), "", SUMIFS(F$2:F377, C$2:C377, C377) - SUMIFS(G$2:G377, C$2:C377, C377))</f>
        <v>0</v>
      </c>
    </row>
    <row r="378" spans="1:8" ht="18" customHeight="1" x14ac:dyDescent="0.55000000000000004">
      <c r="A378" s="11"/>
      <c r="C378" s="12" t="str">
        <f>IF(ISBLANK(B378), "", INDEX('কাস্টমার তালিকা'!$A$4:$A$305, MATCH(B378, 'কাস্টমার তালিকা'!$B$4:$B$305, 0)))</f>
        <v/>
      </c>
      <c r="D378" s="8"/>
      <c r="E378" s="8"/>
      <c r="F378" s="13"/>
      <c r="G378" s="14"/>
      <c r="H378" s="9">
        <f>IF(ISBLANK(C378), "", SUMIFS(F$2:F378, C$2:C378, C378) - SUMIFS(G$2:G378, C$2:C378, C378))</f>
        <v>0</v>
      </c>
    </row>
    <row r="379" spans="1:8" ht="18" customHeight="1" x14ac:dyDescent="0.55000000000000004">
      <c r="A379" s="11"/>
      <c r="C379" s="12" t="str">
        <f>IF(ISBLANK(B379), "", INDEX('কাস্টমার তালিকা'!$A$4:$A$305, MATCH(B379, 'কাস্টমার তালিকা'!$B$4:$B$305, 0)))</f>
        <v/>
      </c>
      <c r="D379" s="8"/>
      <c r="E379" s="8"/>
      <c r="F379" s="13"/>
      <c r="G379" s="14"/>
      <c r="H379" s="9">
        <f>IF(ISBLANK(C379), "", SUMIFS(F$2:F379, C$2:C379, C379) - SUMIFS(G$2:G379, C$2:C379, C379))</f>
        <v>0</v>
      </c>
    </row>
    <row r="380" spans="1:8" ht="18" customHeight="1" x14ac:dyDescent="0.55000000000000004">
      <c r="A380" s="11"/>
      <c r="C380" s="12" t="str">
        <f>IF(ISBLANK(B380), "", INDEX('কাস্টমার তালিকা'!$A$4:$A$305, MATCH(B380, 'কাস্টমার তালিকা'!$B$4:$B$305, 0)))</f>
        <v/>
      </c>
      <c r="D380" s="8"/>
      <c r="E380" s="8"/>
      <c r="F380" s="13"/>
      <c r="G380" s="14"/>
      <c r="H380" s="9">
        <f>IF(ISBLANK(C380), "", SUMIFS(F$2:F380, C$2:C380, C380) - SUMIFS(G$2:G380, C$2:C380, C380))</f>
        <v>0</v>
      </c>
    </row>
    <row r="381" spans="1:8" ht="18" customHeight="1" x14ac:dyDescent="0.55000000000000004">
      <c r="A381" s="11"/>
      <c r="C381" s="12" t="str">
        <f>IF(ISBLANK(B381), "", INDEX('কাস্টমার তালিকা'!$A$4:$A$305, MATCH(B381, 'কাস্টমার তালিকা'!$B$4:$B$305, 0)))</f>
        <v/>
      </c>
      <c r="D381" s="8"/>
      <c r="E381" s="8"/>
      <c r="F381" s="13"/>
      <c r="G381" s="14"/>
      <c r="H381" s="9">
        <f>IF(ISBLANK(C381), "", SUMIFS(F$2:F381, C$2:C381, C381) - SUMIFS(G$2:G381, C$2:C381, C381))</f>
        <v>0</v>
      </c>
    </row>
    <row r="382" spans="1:8" ht="18" customHeight="1" x14ac:dyDescent="0.55000000000000004">
      <c r="A382" s="11"/>
      <c r="C382" s="12" t="str">
        <f>IF(ISBLANK(B382), "", INDEX('কাস্টমার তালিকা'!$A$4:$A$305, MATCH(B382, 'কাস্টমার তালিকা'!$B$4:$B$305, 0)))</f>
        <v/>
      </c>
      <c r="D382" s="8"/>
      <c r="E382" s="8"/>
      <c r="F382" s="13"/>
      <c r="G382" s="14"/>
      <c r="H382" s="9">
        <f>IF(ISBLANK(C382), "", SUMIFS(F$2:F382, C$2:C382, C382) - SUMIFS(G$2:G382, C$2:C382, C382))</f>
        <v>0</v>
      </c>
    </row>
    <row r="383" spans="1:8" ht="18" customHeight="1" x14ac:dyDescent="0.55000000000000004">
      <c r="A383" s="11"/>
      <c r="C383" s="12" t="str">
        <f>IF(ISBLANK(B383), "", INDEX('কাস্টমার তালিকা'!$A$4:$A$305, MATCH(B383, 'কাস্টমার তালিকা'!$B$4:$B$305, 0)))</f>
        <v/>
      </c>
      <c r="D383" s="8"/>
      <c r="E383" s="8"/>
      <c r="F383" s="13"/>
      <c r="G383" s="14"/>
      <c r="H383" s="9">
        <f>IF(ISBLANK(C383), "", SUMIFS(F$2:F383, C$2:C383, C383) - SUMIFS(G$2:G383, C$2:C383, C383))</f>
        <v>0</v>
      </c>
    </row>
    <row r="384" spans="1:8" ht="18" customHeight="1" x14ac:dyDescent="0.55000000000000004">
      <c r="A384" s="11"/>
      <c r="C384" s="12" t="str">
        <f>IF(ISBLANK(B384), "", INDEX('কাস্টমার তালিকা'!$A$4:$A$305, MATCH(B384, 'কাস্টমার তালিকা'!$B$4:$B$305, 0)))</f>
        <v/>
      </c>
      <c r="D384" s="8"/>
      <c r="E384" s="8"/>
      <c r="F384" s="13"/>
      <c r="G384" s="14"/>
      <c r="H384" s="9">
        <f>IF(ISBLANK(C384), "", SUMIFS(F$2:F384, C$2:C384, C384) - SUMIFS(G$2:G384, C$2:C384, C384))</f>
        <v>0</v>
      </c>
    </row>
    <row r="385" spans="1:8" ht="18" customHeight="1" x14ac:dyDescent="0.55000000000000004">
      <c r="A385" s="11"/>
      <c r="C385" s="12" t="str">
        <f>IF(ISBLANK(B385), "", INDEX('কাস্টমার তালিকা'!$A$4:$A$305, MATCH(B385, 'কাস্টমার তালিকা'!$B$4:$B$305, 0)))</f>
        <v/>
      </c>
      <c r="D385" s="8"/>
      <c r="E385" s="8"/>
      <c r="F385" s="13"/>
      <c r="G385" s="14"/>
      <c r="H385" s="9">
        <f>IF(ISBLANK(C385), "", SUMIFS(F$2:F385, C$2:C385, C385) - SUMIFS(G$2:G385, C$2:C385, C385))</f>
        <v>0</v>
      </c>
    </row>
    <row r="386" spans="1:8" ht="18" customHeight="1" x14ac:dyDescent="0.55000000000000004">
      <c r="A386" s="11"/>
      <c r="C386" s="12" t="str">
        <f>IF(ISBLANK(B386), "", INDEX('কাস্টমার তালিকা'!$A$4:$A$305, MATCH(B386, 'কাস্টমার তালিকা'!$B$4:$B$305, 0)))</f>
        <v/>
      </c>
      <c r="D386" s="8"/>
      <c r="E386" s="8"/>
      <c r="F386" s="13"/>
      <c r="G386" s="14"/>
      <c r="H386" s="9">
        <f>IF(ISBLANK(C386), "", SUMIFS(F$2:F386, C$2:C386, C386) - SUMIFS(G$2:G386, C$2:C386, C386))</f>
        <v>0</v>
      </c>
    </row>
    <row r="387" spans="1:8" ht="18" customHeight="1" x14ac:dyDescent="0.55000000000000004">
      <c r="A387" s="11"/>
      <c r="C387" s="12" t="str">
        <f>IF(ISBLANK(B387), "", INDEX('কাস্টমার তালিকা'!$A$4:$A$305, MATCH(B387, 'কাস্টমার তালিকা'!$B$4:$B$305, 0)))</f>
        <v/>
      </c>
      <c r="D387" s="8"/>
      <c r="E387" s="8"/>
      <c r="F387" s="13"/>
      <c r="G387" s="14"/>
      <c r="H387" s="9">
        <f>IF(ISBLANK(C387), "", SUMIFS(F$2:F387, C$2:C387, C387) - SUMIFS(G$2:G387, C$2:C387, C387))</f>
        <v>0</v>
      </c>
    </row>
    <row r="388" spans="1:8" ht="18" customHeight="1" x14ac:dyDescent="0.55000000000000004">
      <c r="A388" s="11"/>
      <c r="C388" s="12" t="str">
        <f>IF(ISBLANK(B388), "", INDEX('কাস্টমার তালিকা'!$A$4:$A$305, MATCH(B388, 'কাস্টমার তালিকা'!$B$4:$B$305, 0)))</f>
        <v/>
      </c>
      <c r="D388" s="8"/>
      <c r="E388" s="8"/>
      <c r="F388" s="13"/>
      <c r="G388" s="14"/>
      <c r="H388" s="9">
        <f>IF(ISBLANK(C388), "", SUMIFS(F$2:F388, C$2:C388, C388) - SUMIFS(G$2:G388, C$2:C388, C388))</f>
        <v>0</v>
      </c>
    </row>
    <row r="389" spans="1:8" ht="18" customHeight="1" x14ac:dyDescent="0.55000000000000004">
      <c r="A389" s="11"/>
      <c r="C389" s="12" t="str">
        <f>IF(ISBLANK(B389), "", INDEX('কাস্টমার তালিকা'!$A$4:$A$305, MATCH(B389, 'কাস্টমার তালিকা'!$B$4:$B$305, 0)))</f>
        <v/>
      </c>
      <c r="D389" s="8"/>
      <c r="E389" s="8"/>
      <c r="F389" s="13"/>
      <c r="G389" s="14"/>
      <c r="H389" s="9">
        <f>IF(ISBLANK(C389), "", SUMIFS(F$2:F389, C$2:C389, C389) - SUMIFS(G$2:G389, C$2:C389, C389))</f>
        <v>0</v>
      </c>
    </row>
    <row r="390" spans="1:8" ht="18" customHeight="1" x14ac:dyDescent="0.55000000000000004">
      <c r="A390" s="11"/>
      <c r="C390" s="12" t="str">
        <f>IF(ISBLANK(B390), "", INDEX('কাস্টমার তালিকা'!$A$4:$A$305, MATCH(B390, 'কাস্টমার তালিকা'!$B$4:$B$305, 0)))</f>
        <v/>
      </c>
      <c r="D390" s="8"/>
      <c r="E390" s="8"/>
      <c r="F390" s="13"/>
      <c r="G390" s="14"/>
      <c r="H390" s="9">
        <f>IF(ISBLANK(C390), "", SUMIFS(F$2:F390, C$2:C390, C390) - SUMIFS(G$2:G390, C$2:C390, C390))</f>
        <v>0</v>
      </c>
    </row>
    <row r="391" spans="1:8" ht="18" customHeight="1" x14ac:dyDescent="0.55000000000000004">
      <c r="A391" s="11"/>
      <c r="C391" s="12" t="str">
        <f>IF(ISBLANK(B391), "", INDEX('কাস্টমার তালিকা'!$A$4:$A$305, MATCH(B391, 'কাস্টমার তালিকা'!$B$4:$B$305, 0)))</f>
        <v/>
      </c>
      <c r="D391" s="8"/>
      <c r="E391" s="8"/>
      <c r="F391" s="13"/>
      <c r="G391" s="14"/>
      <c r="H391" s="9">
        <f>IF(ISBLANK(C391), "", SUMIFS(F$2:F391, C$2:C391, C391) - SUMIFS(G$2:G391, C$2:C391, C391))</f>
        <v>0</v>
      </c>
    </row>
    <row r="392" spans="1:8" ht="18" customHeight="1" x14ac:dyDescent="0.55000000000000004">
      <c r="A392" s="11"/>
      <c r="C392" s="12" t="str">
        <f>IF(ISBLANK(B392), "", INDEX('কাস্টমার তালিকা'!$A$4:$A$305, MATCH(B392, 'কাস্টমার তালিকা'!$B$4:$B$305, 0)))</f>
        <v/>
      </c>
      <c r="D392" s="8"/>
      <c r="E392" s="8"/>
      <c r="F392" s="13"/>
      <c r="G392" s="14"/>
      <c r="H392" s="9">
        <f>IF(ISBLANK(C392), "", SUMIFS(F$2:F392, C$2:C392, C392) - SUMIFS(G$2:G392, C$2:C392, C392))</f>
        <v>0</v>
      </c>
    </row>
    <row r="393" spans="1:8" ht="18" customHeight="1" x14ac:dyDescent="0.55000000000000004">
      <c r="A393" s="11"/>
      <c r="C393" s="12" t="str">
        <f>IF(ISBLANK(B393), "", INDEX('কাস্টমার তালিকা'!$A$4:$A$305, MATCH(B393, 'কাস্টমার তালিকা'!$B$4:$B$305, 0)))</f>
        <v/>
      </c>
      <c r="D393" s="8"/>
      <c r="E393" s="8"/>
      <c r="F393" s="13"/>
      <c r="G393" s="14"/>
      <c r="H393" s="9">
        <f>IF(ISBLANK(C393), "", SUMIFS(F$2:F393, C$2:C393, C393) - SUMIFS(G$2:G393, C$2:C393, C393))</f>
        <v>0</v>
      </c>
    </row>
    <row r="394" spans="1:8" ht="18" customHeight="1" x14ac:dyDescent="0.55000000000000004">
      <c r="A394" s="11"/>
      <c r="C394" s="12" t="str">
        <f>IF(ISBLANK(B394), "", INDEX('কাস্টমার তালিকা'!$A$4:$A$305, MATCH(B394, 'কাস্টমার তালিকা'!$B$4:$B$305, 0)))</f>
        <v/>
      </c>
      <c r="D394" s="8"/>
      <c r="E394" s="8"/>
      <c r="F394" s="13"/>
      <c r="G394" s="14"/>
      <c r="H394" s="9">
        <f>IF(ISBLANK(C394), "", SUMIFS(F$2:F394, C$2:C394, C394) - SUMIFS(G$2:G394, C$2:C394, C394))</f>
        <v>0</v>
      </c>
    </row>
    <row r="395" spans="1:8" ht="18" customHeight="1" x14ac:dyDescent="0.55000000000000004">
      <c r="A395" s="11"/>
      <c r="C395" s="12" t="str">
        <f>IF(ISBLANK(B395), "", INDEX('কাস্টমার তালিকা'!$A$4:$A$305, MATCH(B395, 'কাস্টমার তালিকা'!$B$4:$B$305, 0)))</f>
        <v/>
      </c>
      <c r="D395" s="8"/>
      <c r="E395" s="8"/>
      <c r="F395" s="13"/>
      <c r="G395" s="14"/>
      <c r="H395" s="9">
        <f>IF(ISBLANK(C395), "", SUMIFS(F$2:F395, C$2:C395, C395) - SUMIFS(G$2:G395, C$2:C395, C395))</f>
        <v>0</v>
      </c>
    </row>
    <row r="396" spans="1:8" ht="18" customHeight="1" x14ac:dyDescent="0.55000000000000004">
      <c r="A396" s="11"/>
      <c r="C396" s="12" t="str">
        <f>IF(ISBLANK(B396), "", INDEX('কাস্টমার তালিকা'!$A$4:$A$305, MATCH(B396, 'কাস্টমার তালিকা'!$B$4:$B$305, 0)))</f>
        <v/>
      </c>
      <c r="D396" s="8"/>
      <c r="E396" s="8"/>
      <c r="F396" s="13"/>
      <c r="G396" s="14"/>
      <c r="H396" s="9">
        <f>IF(ISBLANK(C396), "", SUMIFS(F$2:F396, C$2:C396, C396) - SUMIFS(G$2:G396, C$2:C396, C396))</f>
        <v>0</v>
      </c>
    </row>
    <row r="397" spans="1:8" ht="18" customHeight="1" x14ac:dyDescent="0.55000000000000004">
      <c r="A397" s="11"/>
      <c r="C397" s="12" t="str">
        <f>IF(ISBLANK(B397), "", INDEX('কাস্টমার তালিকা'!$A$4:$A$305, MATCH(B397, 'কাস্টমার তালিকা'!$B$4:$B$305, 0)))</f>
        <v/>
      </c>
      <c r="D397" s="8"/>
      <c r="E397" s="8"/>
      <c r="F397" s="13"/>
      <c r="G397" s="14"/>
      <c r="H397" s="9">
        <f>IF(ISBLANK(C397), "", SUMIFS(F$2:F397, C$2:C397, C397) - SUMIFS(G$2:G397, C$2:C397, C397))</f>
        <v>0</v>
      </c>
    </row>
    <row r="398" spans="1:8" ht="18" customHeight="1" x14ac:dyDescent="0.55000000000000004">
      <c r="A398" s="11"/>
      <c r="C398" s="12" t="str">
        <f>IF(ISBLANK(B398), "", INDEX('কাস্টমার তালিকা'!$A$4:$A$305, MATCH(B398, 'কাস্টমার তালিকা'!$B$4:$B$305, 0)))</f>
        <v/>
      </c>
      <c r="D398" s="8"/>
      <c r="E398" s="8"/>
      <c r="F398" s="13"/>
      <c r="G398" s="14"/>
      <c r="H398" s="9">
        <f>IF(ISBLANK(C398), "", SUMIFS(F$2:F398, C$2:C398, C398) - SUMIFS(G$2:G398, C$2:C398, C398))</f>
        <v>0</v>
      </c>
    </row>
    <row r="399" spans="1:8" ht="18" customHeight="1" x14ac:dyDescent="0.55000000000000004">
      <c r="A399" s="11"/>
      <c r="C399" s="12" t="str">
        <f>IF(ISBLANK(B399), "", INDEX('কাস্টমার তালিকা'!$A$4:$A$305, MATCH(B399, 'কাস্টমার তালিকা'!$B$4:$B$305, 0)))</f>
        <v/>
      </c>
      <c r="D399" s="8"/>
      <c r="E399" s="8"/>
      <c r="F399" s="13"/>
      <c r="G399" s="14"/>
      <c r="H399" s="9">
        <f>IF(ISBLANK(C399), "", SUMIFS(F$2:F399, C$2:C399, C399) - SUMIFS(G$2:G399, C$2:C399, C399))</f>
        <v>0</v>
      </c>
    </row>
    <row r="400" spans="1:8" ht="18" customHeight="1" x14ac:dyDescent="0.55000000000000004">
      <c r="A400" s="11"/>
      <c r="C400" s="12" t="str">
        <f>IF(ISBLANK(B400), "", INDEX('কাস্টমার তালিকা'!$A$4:$A$305, MATCH(B400, 'কাস্টমার তালিকা'!$B$4:$B$305, 0)))</f>
        <v/>
      </c>
      <c r="D400" s="8"/>
      <c r="E400" s="8"/>
      <c r="F400" s="13"/>
      <c r="G400" s="14"/>
      <c r="H400" s="9">
        <f>IF(ISBLANK(C400), "", SUMIFS(F$2:F400, C$2:C400, C400) - SUMIFS(G$2:G400, C$2:C400, C400))</f>
        <v>0</v>
      </c>
    </row>
    <row r="401" spans="1:8" ht="18" customHeight="1" x14ac:dyDescent="0.55000000000000004">
      <c r="A401" s="11"/>
      <c r="C401" s="12" t="str">
        <f>IF(ISBLANK(B401), "", INDEX('কাস্টমার তালিকা'!$A$4:$A$305, MATCH(B401, 'কাস্টমার তালিকা'!$B$4:$B$305, 0)))</f>
        <v/>
      </c>
      <c r="D401" s="8"/>
      <c r="E401" s="8"/>
      <c r="F401" s="13"/>
      <c r="G401" s="14"/>
      <c r="H401" s="9">
        <f>IF(ISBLANK(C401), "", SUMIFS(F$2:F401, C$2:C401, C401) - SUMIFS(G$2:G401, C$2:C401, C401))</f>
        <v>0</v>
      </c>
    </row>
    <row r="402" spans="1:8" ht="18" customHeight="1" x14ac:dyDescent="0.55000000000000004">
      <c r="A402" s="11"/>
      <c r="C402" s="12" t="str">
        <f>IF(ISBLANK(B402), "", INDEX('কাস্টমার তালিকা'!$A$4:$A$305, MATCH(B402, 'কাস্টমার তালিকা'!$B$4:$B$305, 0)))</f>
        <v/>
      </c>
      <c r="D402" s="8"/>
      <c r="E402" s="8"/>
      <c r="F402" s="13"/>
      <c r="G402" s="14"/>
      <c r="H402" s="9">
        <f>IF(ISBLANK(C402), "", SUMIFS(F$2:F402, C$2:C402, C402) - SUMIFS(G$2:G402, C$2:C402, C402))</f>
        <v>0</v>
      </c>
    </row>
    <row r="403" spans="1:8" ht="18" customHeight="1" x14ac:dyDescent="0.55000000000000004">
      <c r="A403" s="11"/>
      <c r="C403" s="12" t="str">
        <f>IF(ISBLANK(B403), "", INDEX('কাস্টমার তালিকা'!$A$4:$A$305, MATCH(B403, 'কাস্টমার তালিকা'!$B$4:$B$305, 0)))</f>
        <v/>
      </c>
      <c r="D403" s="8"/>
      <c r="E403" s="8"/>
      <c r="F403" s="13"/>
      <c r="G403" s="14"/>
      <c r="H403" s="9">
        <f>IF(ISBLANK(C403), "", SUMIFS(F$2:F403, C$2:C403, C403) - SUMIFS(G$2:G403, C$2:C403, C403))</f>
        <v>0</v>
      </c>
    </row>
    <row r="404" spans="1:8" ht="18" customHeight="1" x14ac:dyDescent="0.55000000000000004">
      <c r="A404" s="11"/>
      <c r="C404" s="12" t="str">
        <f>IF(ISBLANK(B404), "", INDEX('কাস্টমার তালিকা'!$A$4:$A$305, MATCH(B404, 'কাস্টমার তালিকা'!$B$4:$B$305, 0)))</f>
        <v/>
      </c>
      <c r="D404" s="8"/>
      <c r="E404" s="8"/>
      <c r="F404" s="13"/>
      <c r="G404" s="14"/>
      <c r="H404" s="9">
        <f>IF(ISBLANK(C404), "", SUMIFS(F$2:F404, C$2:C404, C404) - SUMIFS(G$2:G404, C$2:C404, C404))</f>
        <v>0</v>
      </c>
    </row>
    <row r="405" spans="1:8" ht="18" customHeight="1" x14ac:dyDescent="0.55000000000000004">
      <c r="A405" s="11"/>
      <c r="C405" s="12" t="str">
        <f>IF(ISBLANK(B405), "", INDEX('কাস্টমার তালিকা'!$A$4:$A$305, MATCH(B405, 'কাস্টমার তালিকা'!$B$4:$B$305, 0)))</f>
        <v/>
      </c>
      <c r="D405" s="8"/>
      <c r="E405" s="8"/>
      <c r="F405" s="13"/>
      <c r="G405" s="14"/>
      <c r="H405" s="9">
        <f>IF(ISBLANK(C405), "", SUMIFS(F$2:F405, C$2:C405, C405) - SUMIFS(G$2:G405, C$2:C405, C405))</f>
        <v>0</v>
      </c>
    </row>
    <row r="406" spans="1:8" ht="18" customHeight="1" x14ac:dyDescent="0.55000000000000004">
      <c r="A406" s="11"/>
      <c r="C406" s="12" t="str">
        <f>IF(ISBLANK(B406), "", INDEX('কাস্টমার তালিকা'!$A$4:$A$305, MATCH(B406, 'কাস্টমার তালিকা'!$B$4:$B$305, 0)))</f>
        <v/>
      </c>
      <c r="D406" s="8"/>
      <c r="E406" s="8"/>
      <c r="F406" s="13"/>
      <c r="G406" s="14"/>
      <c r="H406" s="9">
        <f>IF(ISBLANK(C406), "", SUMIFS(F$2:F406, C$2:C406, C406) - SUMIFS(G$2:G406, C$2:C406, C406))</f>
        <v>0</v>
      </c>
    </row>
    <row r="407" spans="1:8" ht="18" customHeight="1" x14ac:dyDescent="0.55000000000000004">
      <c r="A407" s="11"/>
      <c r="C407" s="12" t="str">
        <f>IF(ISBLANK(B407), "", INDEX('কাস্টমার তালিকা'!$A$4:$A$305, MATCH(B407, 'কাস্টমার তালিকা'!$B$4:$B$305, 0)))</f>
        <v/>
      </c>
      <c r="D407" s="8"/>
      <c r="E407" s="8"/>
      <c r="F407" s="13"/>
      <c r="G407" s="14"/>
      <c r="H407" s="9">
        <f>IF(ISBLANK(C407), "", SUMIFS(F$2:F407, C$2:C407, C407) - SUMIFS(G$2:G407, C$2:C407, C407))</f>
        <v>0</v>
      </c>
    </row>
    <row r="408" spans="1:8" ht="18" customHeight="1" x14ac:dyDescent="0.55000000000000004">
      <c r="A408" s="11"/>
      <c r="C408" s="12" t="str">
        <f>IF(ISBLANK(B408), "", INDEX('কাস্টমার তালিকা'!$A$4:$A$305, MATCH(B408, 'কাস্টমার তালিকা'!$B$4:$B$305, 0)))</f>
        <v/>
      </c>
      <c r="D408" s="8"/>
      <c r="E408" s="8"/>
      <c r="F408" s="13"/>
      <c r="G408" s="14"/>
      <c r="H408" s="9">
        <f>IF(ISBLANK(C408), "", SUMIFS(F$2:F408, C$2:C408, C408) - SUMIFS(G$2:G408, C$2:C408, C408))</f>
        <v>0</v>
      </c>
    </row>
    <row r="409" spans="1:8" ht="18" customHeight="1" x14ac:dyDescent="0.55000000000000004">
      <c r="A409" s="11"/>
      <c r="C409" s="12" t="str">
        <f>IF(ISBLANK(B409), "", INDEX('কাস্টমার তালিকা'!$A$4:$A$305, MATCH(B409, 'কাস্টমার তালিকা'!$B$4:$B$305, 0)))</f>
        <v/>
      </c>
      <c r="D409" s="8"/>
      <c r="E409" s="8"/>
      <c r="F409" s="13"/>
      <c r="G409" s="14"/>
      <c r="H409" s="9">
        <f>IF(ISBLANK(C409), "", SUMIFS(F$2:F409, C$2:C409, C409) - SUMIFS(G$2:G409, C$2:C409, C409))</f>
        <v>0</v>
      </c>
    </row>
    <row r="410" spans="1:8" ht="18" customHeight="1" x14ac:dyDescent="0.55000000000000004">
      <c r="A410" s="11"/>
      <c r="C410" s="12" t="str">
        <f>IF(ISBLANK(B410), "", INDEX('কাস্টমার তালিকা'!$A$4:$A$305, MATCH(B410, 'কাস্টমার তালিকা'!$B$4:$B$305, 0)))</f>
        <v/>
      </c>
      <c r="D410" s="8"/>
      <c r="E410" s="8"/>
      <c r="F410" s="13"/>
      <c r="G410" s="14"/>
      <c r="H410" s="9">
        <f>IF(ISBLANK(C410), "", SUMIFS(F$2:F410, C$2:C410, C410) - SUMIFS(G$2:G410, C$2:C410, C410))</f>
        <v>0</v>
      </c>
    </row>
    <row r="411" spans="1:8" ht="18" customHeight="1" x14ac:dyDescent="0.55000000000000004">
      <c r="A411" s="11"/>
      <c r="C411" s="12" t="str">
        <f>IF(ISBLANK(B411), "", INDEX('কাস্টমার তালিকা'!$A$4:$A$305, MATCH(B411, 'কাস্টমার তালিকা'!$B$4:$B$305, 0)))</f>
        <v/>
      </c>
      <c r="D411" s="8"/>
      <c r="E411" s="8"/>
      <c r="F411" s="13"/>
      <c r="G411" s="14"/>
      <c r="H411" s="9">
        <f>IF(ISBLANK(C411), "", SUMIFS(F$2:F411, C$2:C411, C411) - SUMIFS(G$2:G411, C$2:C411, C411))</f>
        <v>0</v>
      </c>
    </row>
    <row r="412" spans="1:8" ht="18" customHeight="1" x14ac:dyDescent="0.55000000000000004">
      <c r="A412" s="11"/>
      <c r="C412" s="12" t="str">
        <f>IF(ISBLANK(B412), "", INDEX('কাস্টমার তালিকা'!$A$4:$A$305, MATCH(B412, 'কাস্টমার তালিকা'!$B$4:$B$305, 0)))</f>
        <v/>
      </c>
      <c r="D412" s="8"/>
      <c r="E412" s="8"/>
      <c r="F412" s="13"/>
      <c r="G412" s="14"/>
      <c r="H412" s="9">
        <f>IF(ISBLANK(C412), "", SUMIFS(F$2:F412, C$2:C412, C412) - SUMIFS(G$2:G412, C$2:C412, C412))</f>
        <v>0</v>
      </c>
    </row>
    <row r="413" spans="1:8" ht="18" customHeight="1" x14ac:dyDescent="0.55000000000000004">
      <c r="A413" s="11"/>
      <c r="C413" s="12" t="str">
        <f>IF(ISBLANK(B413), "", INDEX('কাস্টমার তালিকা'!$A$4:$A$305, MATCH(B413, 'কাস্টমার তালিকা'!$B$4:$B$305, 0)))</f>
        <v/>
      </c>
      <c r="D413" s="8"/>
      <c r="E413" s="8"/>
      <c r="F413" s="13"/>
      <c r="G413" s="14"/>
      <c r="H413" s="9">
        <f>IF(ISBLANK(C413), "", SUMIFS(F$2:F413, C$2:C413, C413) - SUMIFS(G$2:G413, C$2:C413, C413))</f>
        <v>0</v>
      </c>
    </row>
    <row r="414" spans="1:8" ht="18" customHeight="1" x14ac:dyDescent="0.55000000000000004">
      <c r="A414" s="11"/>
      <c r="C414" s="12" t="str">
        <f>IF(ISBLANK(B414), "", INDEX('কাস্টমার তালিকা'!$A$4:$A$305, MATCH(B414, 'কাস্টমার তালিকা'!$B$4:$B$305, 0)))</f>
        <v/>
      </c>
      <c r="D414" s="8"/>
      <c r="E414" s="8"/>
      <c r="F414" s="13"/>
      <c r="G414" s="14"/>
      <c r="H414" s="9">
        <f>IF(ISBLANK(C414), "", SUMIFS(F$2:F414, C$2:C414, C414) - SUMIFS(G$2:G414, C$2:C414, C414))</f>
        <v>0</v>
      </c>
    </row>
    <row r="415" spans="1:8" ht="18" customHeight="1" x14ac:dyDescent="0.55000000000000004">
      <c r="A415" s="11"/>
      <c r="C415" s="12" t="str">
        <f>IF(ISBLANK(B415), "", INDEX('কাস্টমার তালিকা'!$A$4:$A$305, MATCH(B415, 'কাস্টমার তালিকা'!$B$4:$B$305, 0)))</f>
        <v/>
      </c>
      <c r="D415" s="8"/>
      <c r="E415" s="8"/>
      <c r="F415" s="13"/>
      <c r="G415" s="14"/>
      <c r="H415" s="9">
        <f>IF(ISBLANK(C415), "", SUMIFS(F$2:F415, C$2:C415, C415) - SUMIFS(G$2:G415, C$2:C415, C415))</f>
        <v>0</v>
      </c>
    </row>
    <row r="416" spans="1:8" ht="18" customHeight="1" x14ac:dyDescent="0.55000000000000004">
      <c r="A416" s="11"/>
      <c r="C416" s="12" t="str">
        <f>IF(ISBLANK(B416), "", INDEX('কাস্টমার তালিকা'!$A$4:$A$305, MATCH(B416, 'কাস্টমার তালিকা'!$B$4:$B$305, 0)))</f>
        <v/>
      </c>
      <c r="D416" s="8"/>
      <c r="E416" s="8"/>
      <c r="F416" s="13"/>
      <c r="G416" s="14"/>
      <c r="H416" s="9">
        <f>IF(ISBLANK(C416), "", SUMIFS(F$2:F416, C$2:C416, C416) - SUMIFS(G$2:G416, C$2:C416, C416))</f>
        <v>0</v>
      </c>
    </row>
    <row r="417" spans="1:8" ht="18" customHeight="1" x14ac:dyDescent="0.55000000000000004">
      <c r="A417" s="11"/>
      <c r="C417" s="12" t="str">
        <f>IF(ISBLANK(B417), "", INDEX('কাস্টমার তালিকা'!$A$4:$A$305, MATCH(B417, 'কাস্টমার তালিকা'!$B$4:$B$305, 0)))</f>
        <v/>
      </c>
      <c r="D417" s="8"/>
      <c r="E417" s="8"/>
      <c r="F417" s="13"/>
      <c r="G417" s="14"/>
      <c r="H417" s="9">
        <f>IF(ISBLANK(C417), "", SUMIFS(F$2:F417, C$2:C417, C417) - SUMIFS(G$2:G417, C$2:C417, C417))</f>
        <v>0</v>
      </c>
    </row>
    <row r="418" spans="1:8" ht="18" customHeight="1" x14ac:dyDescent="0.55000000000000004">
      <c r="A418" s="11"/>
      <c r="C418" s="12" t="str">
        <f>IF(ISBLANK(B418), "", INDEX('কাস্টমার তালিকা'!$A$4:$A$305, MATCH(B418, 'কাস্টমার তালিকা'!$B$4:$B$305, 0)))</f>
        <v/>
      </c>
      <c r="D418" s="8"/>
      <c r="E418" s="8"/>
      <c r="F418" s="13"/>
      <c r="G418" s="14"/>
      <c r="H418" s="9">
        <f>IF(ISBLANK(C418), "", SUMIFS(F$2:F418, C$2:C418, C418) - SUMIFS(G$2:G418, C$2:C418, C418))</f>
        <v>0</v>
      </c>
    </row>
    <row r="419" spans="1:8" ht="18" customHeight="1" x14ac:dyDescent="0.55000000000000004">
      <c r="A419" s="11"/>
      <c r="C419" s="12" t="str">
        <f>IF(ISBLANK(B419), "", INDEX('কাস্টমার তালিকা'!$A$4:$A$305, MATCH(B419, 'কাস্টমার তালিকা'!$B$4:$B$305, 0)))</f>
        <v/>
      </c>
      <c r="D419" s="8"/>
      <c r="E419" s="8"/>
      <c r="F419" s="13"/>
      <c r="G419" s="14"/>
      <c r="H419" s="9">
        <f>IF(ISBLANK(C419), "", SUMIFS(F$2:F419, C$2:C419, C419) - SUMIFS(G$2:G419, C$2:C419, C419))</f>
        <v>0</v>
      </c>
    </row>
    <row r="420" spans="1:8" ht="18" customHeight="1" x14ac:dyDescent="0.55000000000000004">
      <c r="A420" s="11"/>
      <c r="C420" s="12" t="str">
        <f>IF(ISBLANK(B420), "", INDEX('কাস্টমার তালিকা'!$A$4:$A$305, MATCH(B420, 'কাস্টমার তালিকা'!$B$4:$B$305, 0)))</f>
        <v/>
      </c>
      <c r="D420" s="8"/>
      <c r="E420" s="8"/>
      <c r="F420" s="13"/>
      <c r="G420" s="14"/>
      <c r="H420" s="9">
        <f>IF(ISBLANK(C420), "", SUMIFS(F$2:F420, C$2:C420, C420) - SUMIFS(G$2:G420, C$2:C420, C420))</f>
        <v>0</v>
      </c>
    </row>
    <row r="421" spans="1:8" ht="18" customHeight="1" x14ac:dyDescent="0.55000000000000004">
      <c r="A421" s="11"/>
      <c r="C421" s="12" t="str">
        <f>IF(ISBLANK(B421), "", INDEX('কাস্টমার তালিকা'!$A$4:$A$305, MATCH(B421, 'কাস্টমার তালিকা'!$B$4:$B$305, 0)))</f>
        <v/>
      </c>
      <c r="D421" s="8"/>
      <c r="E421" s="8"/>
      <c r="F421" s="13"/>
      <c r="G421" s="14"/>
      <c r="H421" s="9">
        <f>IF(ISBLANK(C421), "", SUMIFS(F$2:F421, C$2:C421, C421) - SUMIFS(G$2:G421, C$2:C421, C421))</f>
        <v>0</v>
      </c>
    </row>
    <row r="422" spans="1:8" ht="18" customHeight="1" x14ac:dyDescent="0.55000000000000004">
      <c r="A422" s="11"/>
      <c r="C422" s="12" t="str">
        <f>IF(ISBLANK(B422), "", INDEX('কাস্টমার তালিকা'!$A$4:$A$305, MATCH(B422, 'কাস্টমার তালিকা'!$B$4:$B$305, 0)))</f>
        <v/>
      </c>
      <c r="D422" s="8"/>
      <c r="E422" s="8"/>
      <c r="F422" s="13"/>
      <c r="G422" s="14"/>
      <c r="H422" s="9">
        <f>IF(ISBLANK(C422), "", SUMIFS(F$2:F422, C$2:C422, C422) - SUMIFS(G$2:G422, C$2:C422, C422))</f>
        <v>0</v>
      </c>
    </row>
    <row r="423" spans="1:8" ht="18" customHeight="1" x14ac:dyDescent="0.55000000000000004">
      <c r="A423" s="11"/>
      <c r="C423" s="12" t="str">
        <f>IF(ISBLANK(B423), "", INDEX('কাস্টমার তালিকা'!$A$4:$A$305, MATCH(B423, 'কাস্টমার তালিকা'!$B$4:$B$305, 0)))</f>
        <v/>
      </c>
      <c r="D423" s="8"/>
      <c r="E423" s="8"/>
      <c r="F423" s="13"/>
      <c r="G423" s="14"/>
      <c r="H423" s="9">
        <f>IF(ISBLANK(C423), "", SUMIFS(F$2:F423, C$2:C423, C423) - SUMIFS(G$2:G423, C$2:C423, C423))</f>
        <v>0</v>
      </c>
    </row>
    <row r="424" spans="1:8" ht="18" customHeight="1" x14ac:dyDescent="0.55000000000000004">
      <c r="A424" s="11"/>
      <c r="C424" s="12" t="str">
        <f>IF(ISBLANK(B424), "", INDEX('কাস্টমার তালিকা'!$A$4:$A$305, MATCH(B424, 'কাস্টমার তালিকা'!$B$4:$B$305, 0)))</f>
        <v/>
      </c>
      <c r="D424" s="8"/>
      <c r="E424" s="8"/>
      <c r="F424" s="13"/>
      <c r="G424" s="14"/>
      <c r="H424" s="9">
        <f>IF(ISBLANK(C424), "", SUMIFS(F$2:F424, C$2:C424, C424) - SUMIFS(G$2:G424, C$2:C424, C424))</f>
        <v>0</v>
      </c>
    </row>
    <row r="425" spans="1:8" ht="18" customHeight="1" x14ac:dyDescent="0.55000000000000004">
      <c r="A425" s="11"/>
      <c r="C425" s="12" t="str">
        <f>IF(ISBLANK(B425), "", INDEX('কাস্টমার তালিকা'!$A$4:$A$305, MATCH(B425, 'কাস্টমার তালিকা'!$B$4:$B$305, 0)))</f>
        <v/>
      </c>
      <c r="D425" s="8"/>
      <c r="E425" s="8"/>
      <c r="F425" s="13"/>
      <c r="G425" s="14"/>
      <c r="H425" s="9">
        <f>IF(ISBLANK(C425), "", SUMIFS(F$2:F425, C$2:C425, C425) - SUMIFS(G$2:G425, C$2:C425, C425))</f>
        <v>0</v>
      </c>
    </row>
    <row r="426" spans="1:8" ht="18" customHeight="1" x14ac:dyDescent="0.55000000000000004">
      <c r="A426" s="11"/>
      <c r="C426" s="12" t="str">
        <f>IF(ISBLANK(B426), "", INDEX('কাস্টমার তালিকা'!$A$4:$A$305, MATCH(B426, 'কাস্টমার তালিকা'!$B$4:$B$305, 0)))</f>
        <v/>
      </c>
      <c r="D426" s="8"/>
      <c r="E426" s="8"/>
      <c r="F426" s="13"/>
      <c r="G426" s="14"/>
      <c r="H426" s="9">
        <f>IF(ISBLANK(C426), "", SUMIFS(F$2:F426, C$2:C426, C426) - SUMIFS(G$2:G426, C$2:C426, C426))</f>
        <v>0</v>
      </c>
    </row>
    <row r="427" spans="1:8" ht="18" customHeight="1" x14ac:dyDescent="0.55000000000000004">
      <c r="A427" s="11"/>
      <c r="C427" s="12" t="str">
        <f>IF(ISBLANK(B427), "", INDEX('কাস্টমার তালিকা'!$A$4:$A$305, MATCH(B427, 'কাস্টমার তালিকা'!$B$4:$B$305, 0)))</f>
        <v/>
      </c>
      <c r="D427" s="8"/>
      <c r="E427" s="8"/>
      <c r="F427" s="13"/>
      <c r="G427" s="14"/>
      <c r="H427" s="9">
        <f>IF(ISBLANK(C427), "", SUMIFS(F$2:F427, C$2:C427, C427) - SUMIFS(G$2:G427, C$2:C427, C427))</f>
        <v>0</v>
      </c>
    </row>
    <row r="428" spans="1:8" ht="18" customHeight="1" x14ac:dyDescent="0.55000000000000004">
      <c r="A428" s="11"/>
      <c r="C428" s="12" t="str">
        <f>IF(ISBLANK(B428), "", INDEX('কাস্টমার তালিকা'!$A$4:$A$305, MATCH(B428, 'কাস্টমার তালিকা'!$B$4:$B$305, 0)))</f>
        <v/>
      </c>
      <c r="D428" s="8"/>
      <c r="E428" s="8"/>
      <c r="F428" s="13"/>
      <c r="G428" s="14"/>
      <c r="H428" s="9">
        <f>IF(ISBLANK(C428), "", SUMIFS(F$2:F428, C$2:C428, C428) - SUMIFS(G$2:G428, C$2:C428, C428))</f>
        <v>0</v>
      </c>
    </row>
    <row r="429" spans="1:8" ht="18" customHeight="1" x14ac:dyDescent="0.55000000000000004">
      <c r="A429" s="11"/>
      <c r="C429" s="12" t="str">
        <f>IF(ISBLANK(B429), "", INDEX('কাস্টমার তালিকা'!$A$4:$A$305, MATCH(B429, 'কাস্টমার তালিকা'!$B$4:$B$305, 0)))</f>
        <v/>
      </c>
      <c r="D429" s="8"/>
      <c r="E429" s="8"/>
      <c r="F429" s="13"/>
      <c r="G429" s="14"/>
      <c r="H429" s="9">
        <f>IF(ISBLANK(C429), "", SUMIFS(F$2:F429, C$2:C429, C429) - SUMIFS(G$2:G429, C$2:C429, C429))</f>
        <v>0</v>
      </c>
    </row>
    <row r="430" spans="1:8" ht="18" customHeight="1" x14ac:dyDescent="0.55000000000000004">
      <c r="A430" s="11"/>
      <c r="C430" s="12" t="str">
        <f>IF(ISBLANK(B430), "", INDEX('কাস্টমার তালিকা'!$A$4:$A$305, MATCH(B430, 'কাস্টমার তালিকা'!$B$4:$B$305, 0)))</f>
        <v/>
      </c>
      <c r="D430" s="8"/>
      <c r="E430" s="8"/>
      <c r="F430" s="13"/>
      <c r="G430" s="14"/>
      <c r="H430" s="9">
        <f>IF(ISBLANK(C430), "", SUMIFS(F$2:F430, C$2:C430, C430) - SUMIFS(G$2:G430, C$2:C430, C430))</f>
        <v>0</v>
      </c>
    </row>
    <row r="431" spans="1:8" ht="18" customHeight="1" x14ac:dyDescent="0.55000000000000004">
      <c r="A431" s="11"/>
      <c r="C431" s="12" t="str">
        <f>IF(ISBLANK(B431), "", INDEX('কাস্টমার তালিকা'!$A$4:$A$305, MATCH(B431, 'কাস্টমার তালিকা'!$B$4:$B$305, 0)))</f>
        <v/>
      </c>
      <c r="D431" s="8"/>
      <c r="E431" s="8"/>
      <c r="F431" s="13"/>
      <c r="G431" s="14"/>
      <c r="H431" s="9">
        <f>IF(ISBLANK(C431), "", SUMIFS(F$2:F431, C$2:C431, C431) - SUMIFS(G$2:G431, C$2:C431, C431))</f>
        <v>0</v>
      </c>
    </row>
    <row r="432" spans="1:8" ht="18" customHeight="1" x14ac:dyDescent="0.55000000000000004">
      <c r="A432" s="11"/>
      <c r="C432" s="12" t="str">
        <f>IF(ISBLANK(B432), "", INDEX('কাস্টমার তালিকা'!$A$4:$A$305, MATCH(B432, 'কাস্টমার তালিকা'!$B$4:$B$305, 0)))</f>
        <v/>
      </c>
      <c r="D432" s="8"/>
      <c r="E432" s="8"/>
      <c r="F432" s="13"/>
      <c r="G432" s="14"/>
      <c r="H432" s="9">
        <f>IF(ISBLANK(C432), "", SUMIFS(F$2:F432, C$2:C432, C432) - SUMIFS(G$2:G432, C$2:C432, C432))</f>
        <v>0</v>
      </c>
    </row>
    <row r="433" spans="1:8" ht="18" customHeight="1" x14ac:dyDescent="0.55000000000000004">
      <c r="A433" s="11"/>
      <c r="C433" s="12" t="str">
        <f>IF(ISBLANK(B433), "", INDEX('কাস্টমার তালিকা'!$A$4:$A$305, MATCH(B433, 'কাস্টমার তালিকা'!$B$4:$B$305, 0)))</f>
        <v/>
      </c>
      <c r="D433" s="8"/>
      <c r="E433" s="8"/>
      <c r="F433" s="13"/>
      <c r="G433" s="14"/>
      <c r="H433" s="9">
        <f>IF(ISBLANK(C433), "", SUMIFS(F$2:F433, C$2:C433, C433) - SUMIFS(G$2:G433, C$2:C433, C433))</f>
        <v>0</v>
      </c>
    </row>
    <row r="434" spans="1:8" ht="18" customHeight="1" x14ac:dyDescent="0.55000000000000004">
      <c r="A434" s="11"/>
      <c r="C434" s="12" t="str">
        <f>IF(ISBLANK(B434), "", INDEX('কাস্টমার তালিকা'!$A$4:$A$305, MATCH(B434, 'কাস্টমার তালিকা'!$B$4:$B$305, 0)))</f>
        <v/>
      </c>
      <c r="D434" s="8"/>
      <c r="E434" s="8"/>
      <c r="F434" s="13"/>
      <c r="G434" s="14"/>
      <c r="H434" s="9">
        <f>IF(ISBLANK(C434), "", SUMIFS(F$2:F434, C$2:C434, C434) - SUMIFS(G$2:G434, C$2:C434, C434))</f>
        <v>0</v>
      </c>
    </row>
    <row r="435" spans="1:8" ht="18" customHeight="1" x14ac:dyDescent="0.55000000000000004">
      <c r="A435" s="11"/>
      <c r="C435" s="12" t="str">
        <f>IF(ISBLANK(B435), "", INDEX('কাস্টমার তালিকা'!$A$4:$A$305, MATCH(B435, 'কাস্টমার তালিকা'!$B$4:$B$305, 0)))</f>
        <v/>
      </c>
      <c r="D435" s="8"/>
      <c r="E435" s="8"/>
      <c r="F435" s="13"/>
      <c r="G435" s="14"/>
      <c r="H435" s="9">
        <f>IF(ISBLANK(C435), "", SUMIFS(F$2:F435, C$2:C435, C435) - SUMIFS(G$2:G435, C$2:C435, C435))</f>
        <v>0</v>
      </c>
    </row>
    <row r="436" spans="1:8" ht="18" customHeight="1" x14ac:dyDescent="0.55000000000000004">
      <c r="A436" s="11"/>
      <c r="C436" s="12" t="str">
        <f>IF(ISBLANK(B436), "", INDEX('কাস্টমার তালিকা'!$A$4:$A$305, MATCH(B436, 'কাস্টমার তালিকা'!$B$4:$B$305, 0)))</f>
        <v/>
      </c>
      <c r="D436" s="8"/>
      <c r="E436" s="8"/>
      <c r="F436" s="13"/>
      <c r="G436" s="14"/>
      <c r="H436" s="9">
        <f>IF(ISBLANK(C436), "", SUMIFS(F$2:F436, C$2:C436, C436) - SUMIFS(G$2:G436, C$2:C436, C436))</f>
        <v>0</v>
      </c>
    </row>
    <row r="437" spans="1:8" ht="18" customHeight="1" x14ac:dyDescent="0.55000000000000004">
      <c r="A437" s="11"/>
      <c r="C437" s="12" t="str">
        <f>IF(ISBLANK(B437), "", INDEX('কাস্টমার তালিকা'!$A$4:$A$305, MATCH(B437, 'কাস্টমার তালিকা'!$B$4:$B$305, 0)))</f>
        <v/>
      </c>
      <c r="D437" s="8"/>
      <c r="E437" s="8"/>
      <c r="F437" s="13"/>
      <c r="G437" s="14"/>
      <c r="H437" s="9">
        <f>IF(ISBLANK(C437), "", SUMIFS(F$2:F437, C$2:C437, C437) - SUMIFS(G$2:G437, C$2:C437, C437))</f>
        <v>0</v>
      </c>
    </row>
    <row r="438" spans="1:8" ht="18" customHeight="1" x14ac:dyDescent="0.55000000000000004">
      <c r="A438" s="11"/>
      <c r="C438" s="12" t="str">
        <f>IF(ISBLANK(B438), "", INDEX('কাস্টমার তালিকা'!$A$4:$A$305, MATCH(B438, 'কাস্টমার তালিকা'!$B$4:$B$305, 0)))</f>
        <v/>
      </c>
      <c r="D438" s="8"/>
      <c r="E438" s="8"/>
      <c r="F438" s="13"/>
      <c r="G438" s="14"/>
      <c r="H438" s="9">
        <f>IF(ISBLANK(C438), "", SUMIFS(F$2:F438, C$2:C438, C438) - SUMIFS(G$2:G438, C$2:C438, C438))</f>
        <v>0</v>
      </c>
    </row>
    <row r="439" spans="1:8" ht="18" customHeight="1" x14ac:dyDescent="0.55000000000000004">
      <c r="A439" s="11"/>
      <c r="C439" s="12" t="str">
        <f>IF(ISBLANK(B439), "", INDEX('কাস্টমার তালিকা'!$A$4:$A$305, MATCH(B439, 'কাস্টমার তালিকা'!$B$4:$B$305, 0)))</f>
        <v/>
      </c>
      <c r="D439" s="8"/>
      <c r="E439" s="8"/>
      <c r="F439" s="13"/>
      <c r="G439" s="14"/>
      <c r="H439" s="9">
        <f>IF(ISBLANK(C439), "", SUMIFS(F$2:F439, C$2:C439, C439) - SUMIFS(G$2:G439, C$2:C439, C439))</f>
        <v>0</v>
      </c>
    </row>
    <row r="440" spans="1:8" ht="18" customHeight="1" x14ac:dyDescent="0.55000000000000004">
      <c r="A440" s="11"/>
      <c r="C440" s="12" t="str">
        <f>IF(ISBLANK(B440), "", INDEX('কাস্টমার তালিকা'!$A$4:$A$305, MATCH(B440, 'কাস্টমার তালিকা'!$B$4:$B$305, 0)))</f>
        <v/>
      </c>
      <c r="D440" s="8"/>
      <c r="E440" s="8"/>
      <c r="F440" s="13"/>
      <c r="G440" s="14"/>
      <c r="H440" s="9">
        <f>IF(ISBLANK(C440), "", SUMIFS(F$2:F440, C$2:C440, C440) - SUMIFS(G$2:G440, C$2:C440, C440))</f>
        <v>0</v>
      </c>
    </row>
    <row r="441" spans="1:8" ht="18" customHeight="1" x14ac:dyDescent="0.55000000000000004">
      <c r="A441" s="11"/>
      <c r="C441" s="12" t="str">
        <f>IF(ISBLANK(B441), "", INDEX('কাস্টমার তালিকা'!$A$4:$A$305, MATCH(B441, 'কাস্টমার তালিকা'!$B$4:$B$305, 0)))</f>
        <v/>
      </c>
      <c r="D441" s="8"/>
      <c r="E441" s="8"/>
      <c r="F441" s="13"/>
      <c r="G441" s="14"/>
      <c r="H441" s="9">
        <f>IF(ISBLANK(C441), "", SUMIFS(F$2:F441, C$2:C441, C441) - SUMIFS(G$2:G441, C$2:C441, C441))</f>
        <v>0</v>
      </c>
    </row>
    <row r="442" spans="1:8" ht="18" customHeight="1" x14ac:dyDescent="0.55000000000000004">
      <c r="A442" s="11"/>
      <c r="C442" s="12" t="str">
        <f>IF(ISBLANK(B442), "", INDEX('কাস্টমার তালিকা'!$A$4:$A$305, MATCH(B442, 'কাস্টমার তালিকা'!$B$4:$B$305, 0)))</f>
        <v/>
      </c>
      <c r="D442" s="8"/>
      <c r="E442" s="8"/>
      <c r="F442" s="13"/>
      <c r="G442" s="14"/>
      <c r="H442" s="9">
        <f>IF(ISBLANK(C442), "", SUMIFS(F$2:F442, C$2:C442, C442) - SUMIFS(G$2:G442, C$2:C442, C442))</f>
        <v>0</v>
      </c>
    </row>
    <row r="443" spans="1:8" ht="18" customHeight="1" x14ac:dyDescent="0.55000000000000004">
      <c r="A443" s="11"/>
      <c r="C443" s="12" t="str">
        <f>IF(ISBLANK(B443), "", INDEX('কাস্টমার তালিকা'!$A$4:$A$305, MATCH(B443, 'কাস্টমার তালিকা'!$B$4:$B$305, 0)))</f>
        <v/>
      </c>
      <c r="D443" s="8"/>
      <c r="E443" s="8"/>
      <c r="F443" s="13"/>
      <c r="G443" s="14"/>
      <c r="H443" s="9">
        <f>IF(ISBLANK(C443), "", SUMIFS(F$2:F443, C$2:C443, C443) - SUMIFS(G$2:G443, C$2:C443, C443))</f>
        <v>0</v>
      </c>
    </row>
    <row r="444" spans="1:8" ht="18" customHeight="1" x14ac:dyDescent="0.55000000000000004">
      <c r="A444" s="11"/>
      <c r="C444" s="12" t="str">
        <f>IF(ISBLANK(B444), "", INDEX('কাস্টমার তালিকা'!$A$4:$A$305, MATCH(B444, 'কাস্টমার তালিকা'!$B$4:$B$305, 0)))</f>
        <v/>
      </c>
      <c r="D444" s="8"/>
      <c r="E444" s="8"/>
      <c r="F444" s="13"/>
      <c r="G444" s="14"/>
      <c r="H444" s="9">
        <f>IF(ISBLANK(C444), "", SUMIFS(F$2:F444, C$2:C444, C444) - SUMIFS(G$2:G444, C$2:C444, C444))</f>
        <v>0</v>
      </c>
    </row>
    <row r="445" spans="1:8" ht="18" customHeight="1" x14ac:dyDescent="0.55000000000000004">
      <c r="A445" s="11"/>
      <c r="C445" s="12" t="str">
        <f>IF(ISBLANK(B445), "", INDEX('কাস্টমার তালিকা'!$A$4:$A$305, MATCH(B445, 'কাস্টমার তালিকা'!$B$4:$B$305, 0)))</f>
        <v/>
      </c>
      <c r="D445" s="8"/>
      <c r="E445" s="8"/>
      <c r="F445" s="13"/>
      <c r="G445" s="14"/>
      <c r="H445" s="9">
        <f>IF(ISBLANK(C445), "", SUMIFS(F$2:F445, C$2:C445, C445) - SUMIFS(G$2:G445, C$2:C445, C445))</f>
        <v>0</v>
      </c>
    </row>
    <row r="446" spans="1:8" ht="18" customHeight="1" x14ac:dyDescent="0.55000000000000004">
      <c r="A446" s="11"/>
      <c r="C446" s="12" t="str">
        <f>IF(ISBLANK(B446), "", INDEX('কাস্টমার তালিকা'!$A$4:$A$305, MATCH(B446, 'কাস্টমার তালিকা'!$B$4:$B$305, 0)))</f>
        <v/>
      </c>
      <c r="D446" s="8"/>
      <c r="E446" s="8"/>
      <c r="F446" s="13"/>
      <c r="G446" s="14"/>
      <c r="H446" s="9">
        <f>IF(ISBLANK(C446), "", SUMIFS(F$2:F446, C$2:C446, C446) - SUMIFS(G$2:G446, C$2:C446, C446))</f>
        <v>0</v>
      </c>
    </row>
    <row r="447" spans="1:8" ht="18" customHeight="1" x14ac:dyDescent="0.55000000000000004">
      <c r="A447" s="11"/>
      <c r="C447" s="12" t="str">
        <f>IF(ISBLANK(B447), "", INDEX('কাস্টমার তালিকা'!$A$4:$A$305, MATCH(B447, 'কাস্টমার তালিকা'!$B$4:$B$305, 0)))</f>
        <v/>
      </c>
      <c r="D447" s="8"/>
      <c r="E447" s="8"/>
      <c r="F447" s="13"/>
      <c r="G447" s="14"/>
      <c r="H447" s="9">
        <f>IF(ISBLANK(C447), "", SUMIFS(F$2:F447, C$2:C447, C447) - SUMIFS(G$2:G447, C$2:C447, C447))</f>
        <v>0</v>
      </c>
    </row>
    <row r="448" spans="1:8" ht="18" customHeight="1" x14ac:dyDescent="0.55000000000000004">
      <c r="A448" s="11"/>
      <c r="C448" s="12" t="str">
        <f>IF(ISBLANK(B448), "", INDEX('কাস্টমার তালিকা'!$A$4:$A$305, MATCH(B448, 'কাস্টমার তালিকা'!$B$4:$B$305, 0)))</f>
        <v/>
      </c>
      <c r="D448" s="8"/>
      <c r="E448" s="8"/>
      <c r="F448" s="13"/>
      <c r="G448" s="14"/>
      <c r="H448" s="9">
        <f>IF(ISBLANK(C448), "", SUMIFS(F$2:F448, C$2:C448, C448) - SUMIFS(G$2:G448, C$2:C448, C448))</f>
        <v>0</v>
      </c>
    </row>
    <row r="449" spans="1:8" ht="18" customHeight="1" x14ac:dyDescent="0.55000000000000004">
      <c r="A449" s="11"/>
      <c r="C449" s="12" t="str">
        <f>IF(ISBLANK(B449), "", INDEX('কাস্টমার তালিকা'!$A$4:$A$305, MATCH(B449, 'কাস্টমার তালিকা'!$B$4:$B$305, 0)))</f>
        <v/>
      </c>
      <c r="D449" s="8"/>
      <c r="E449" s="8"/>
      <c r="F449" s="13"/>
      <c r="G449" s="14"/>
      <c r="H449" s="9">
        <f>IF(ISBLANK(C449), "", SUMIFS(F$2:F449, C$2:C449, C449) - SUMIFS(G$2:G449, C$2:C449, C449))</f>
        <v>0</v>
      </c>
    </row>
    <row r="450" spans="1:8" ht="18" customHeight="1" x14ac:dyDescent="0.55000000000000004">
      <c r="A450" s="11"/>
      <c r="C450" s="12" t="str">
        <f>IF(ISBLANK(B450), "", INDEX('কাস্টমার তালিকা'!$A$4:$A$305, MATCH(B450, 'কাস্টমার তালিকা'!$B$4:$B$305, 0)))</f>
        <v/>
      </c>
      <c r="D450" s="8"/>
      <c r="E450" s="8"/>
      <c r="F450" s="13"/>
      <c r="G450" s="14"/>
      <c r="H450" s="9">
        <f>IF(ISBLANK(C450), "", SUMIFS(F$2:F450, C$2:C450, C450) - SUMIFS(G$2:G450, C$2:C450, C450))</f>
        <v>0</v>
      </c>
    </row>
    <row r="451" spans="1:8" ht="18" customHeight="1" x14ac:dyDescent="0.55000000000000004">
      <c r="A451" s="11"/>
      <c r="C451" s="12" t="str">
        <f>IF(ISBLANK(B451), "", INDEX('কাস্টমার তালিকা'!$A$4:$A$305, MATCH(B451, 'কাস্টমার তালিকা'!$B$4:$B$305, 0)))</f>
        <v/>
      </c>
      <c r="D451" s="8"/>
      <c r="E451" s="8"/>
      <c r="F451" s="13"/>
      <c r="G451" s="14"/>
      <c r="H451" s="9">
        <f>IF(ISBLANK(C451), "", SUMIFS(F$2:F451, C$2:C451, C451) - SUMIFS(G$2:G451, C$2:C451, C451))</f>
        <v>0</v>
      </c>
    </row>
    <row r="452" spans="1:8" ht="18" customHeight="1" x14ac:dyDescent="0.55000000000000004">
      <c r="A452" s="11"/>
      <c r="C452" s="12" t="str">
        <f>IF(ISBLANK(B452), "", INDEX('কাস্টমার তালিকা'!$A$4:$A$305, MATCH(B452, 'কাস্টমার তালিকা'!$B$4:$B$305, 0)))</f>
        <v/>
      </c>
      <c r="D452" s="8"/>
      <c r="E452" s="8"/>
      <c r="F452" s="13"/>
      <c r="G452" s="14"/>
      <c r="H452" s="9">
        <f>IF(ISBLANK(C452), "", SUMIFS(F$2:F452, C$2:C452, C452) - SUMIFS(G$2:G452, C$2:C452, C452))</f>
        <v>0</v>
      </c>
    </row>
    <row r="453" spans="1:8" ht="18" customHeight="1" x14ac:dyDescent="0.55000000000000004">
      <c r="A453" s="11"/>
      <c r="C453" s="12" t="str">
        <f>IF(ISBLANK(B453), "", INDEX('কাস্টমার তালিকা'!$A$4:$A$305, MATCH(B453, 'কাস্টমার তালিকা'!$B$4:$B$305, 0)))</f>
        <v/>
      </c>
      <c r="D453" s="8"/>
      <c r="E453" s="8"/>
      <c r="F453" s="13"/>
      <c r="G453" s="14"/>
      <c r="H453" s="9">
        <f>IF(ISBLANK(C453), "", SUMIFS(F$2:F453, C$2:C453, C453) - SUMIFS(G$2:G453, C$2:C453, C453))</f>
        <v>0</v>
      </c>
    </row>
    <row r="454" spans="1:8" ht="18" customHeight="1" x14ac:dyDescent="0.55000000000000004">
      <c r="A454" s="11"/>
      <c r="C454" s="12" t="str">
        <f>IF(ISBLANK(B454), "", INDEX('কাস্টমার তালিকা'!$A$4:$A$305, MATCH(B454, 'কাস্টমার তালিকা'!$B$4:$B$305, 0)))</f>
        <v/>
      </c>
      <c r="D454" s="8"/>
      <c r="E454" s="8"/>
      <c r="F454" s="13"/>
      <c r="G454" s="14"/>
      <c r="H454" s="9">
        <f>IF(ISBLANK(C454), "", SUMIFS(F$2:F454, C$2:C454, C454) - SUMIFS(G$2:G454, C$2:C454, C454))</f>
        <v>0</v>
      </c>
    </row>
    <row r="455" spans="1:8" ht="18" customHeight="1" x14ac:dyDescent="0.55000000000000004">
      <c r="A455" s="11"/>
      <c r="C455" s="12" t="str">
        <f>IF(ISBLANK(B455), "", INDEX('কাস্টমার তালিকা'!$A$4:$A$305, MATCH(B455, 'কাস্টমার তালিকা'!$B$4:$B$305, 0)))</f>
        <v/>
      </c>
      <c r="D455" s="8"/>
      <c r="E455" s="8"/>
      <c r="F455" s="13"/>
      <c r="G455" s="14"/>
      <c r="H455" s="9">
        <f>IF(ISBLANK(C455), "", SUMIFS(F$2:F455, C$2:C455, C455) - SUMIFS(G$2:G455, C$2:C455, C455))</f>
        <v>0</v>
      </c>
    </row>
    <row r="456" spans="1:8" ht="18" customHeight="1" x14ac:dyDescent="0.55000000000000004">
      <c r="A456" s="11"/>
      <c r="C456" s="12" t="str">
        <f>IF(ISBLANK(B456), "", INDEX('কাস্টমার তালিকা'!$A$4:$A$305, MATCH(B456, 'কাস্টমার তালিকা'!$B$4:$B$305, 0)))</f>
        <v/>
      </c>
      <c r="D456" s="8"/>
      <c r="E456" s="8"/>
      <c r="F456" s="13"/>
      <c r="G456" s="14"/>
      <c r="H456" s="9">
        <f>IF(ISBLANK(C456), "", SUMIFS(F$2:F456, C$2:C456, C456) - SUMIFS(G$2:G456, C$2:C456, C456))</f>
        <v>0</v>
      </c>
    </row>
    <row r="457" spans="1:8" ht="18" customHeight="1" x14ac:dyDescent="0.55000000000000004">
      <c r="A457" s="11"/>
      <c r="C457" s="12" t="str">
        <f>IF(ISBLANK(B457), "", INDEX('কাস্টমার তালিকা'!$A$4:$A$305, MATCH(B457, 'কাস্টমার তালিকা'!$B$4:$B$305, 0)))</f>
        <v/>
      </c>
      <c r="D457" s="8"/>
      <c r="E457" s="8"/>
      <c r="F457" s="13"/>
      <c r="G457" s="14"/>
      <c r="H457" s="9">
        <f>IF(ISBLANK(C457), "", SUMIFS(F$2:F457, C$2:C457, C457) - SUMIFS(G$2:G457, C$2:C457, C457))</f>
        <v>0</v>
      </c>
    </row>
    <row r="458" spans="1:8" ht="18" customHeight="1" x14ac:dyDescent="0.55000000000000004">
      <c r="A458" s="11"/>
      <c r="C458" s="12" t="str">
        <f>IF(ISBLANK(B458), "", INDEX('কাস্টমার তালিকা'!$A$4:$A$305, MATCH(B458, 'কাস্টমার তালিকা'!$B$4:$B$305, 0)))</f>
        <v/>
      </c>
      <c r="D458" s="8"/>
      <c r="E458" s="8"/>
      <c r="F458" s="13"/>
      <c r="G458" s="14"/>
      <c r="H458" s="9">
        <f>IF(ISBLANK(C458), "", SUMIFS(F$2:F458, C$2:C458, C458) - SUMIFS(G$2:G458, C$2:C458, C458))</f>
        <v>0</v>
      </c>
    </row>
    <row r="459" spans="1:8" ht="18" customHeight="1" x14ac:dyDescent="0.55000000000000004">
      <c r="A459" s="11"/>
      <c r="C459" s="12" t="str">
        <f>IF(ISBLANK(B459), "", INDEX('কাস্টমার তালিকা'!$A$4:$A$305, MATCH(B459, 'কাস্টমার তালিকা'!$B$4:$B$305, 0)))</f>
        <v/>
      </c>
      <c r="D459" s="8"/>
      <c r="E459" s="8"/>
      <c r="F459" s="13"/>
      <c r="G459" s="14"/>
      <c r="H459" s="9">
        <f>IF(ISBLANK(C459), "", SUMIFS(F$2:F459, C$2:C459, C459) - SUMIFS(G$2:G459, C$2:C459, C459))</f>
        <v>0</v>
      </c>
    </row>
    <row r="460" spans="1:8" ht="18" customHeight="1" x14ac:dyDescent="0.55000000000000004">
      <c r="A460" s="11"/>
      <c r="C460" s="12" t="str">
        <f>IF(ISBLANK(B460), "", INDEX('কাস্টমার তালিকা'!$A$4:$A$305, MATCH(B460, 'কাস্টমার তালিকা'!$B$4:$B$305, 0)))</f>
        <v/>
      </c>
      <c r="D460" s="8"/>
      <c r="E460" s="8"/>
      <c r="F460" s="13"/>
      <c r="G460" s="14"/>
      <c r="H460" s="9">
        <f>IF(ISBLANK(C460), "", SUMIFS(F$2:F460, C$2:C460, C460) - SUMIFS(G$2:G460, C$2:C460, C460))</f>
        <v>0</v>
      </c>
    </row>
    <row r="461" spans="1:8" ht="18" customHeight="1" x14ac:dyDescent="0.55000000000000004">
      <c r="A461" s="11"/>
      <c r="C461" s="12" t="str">
        <f>IF(ISBLANK(B461), "", INDEX('কাস্টমার তালিকা'!$A$4:$A$305, MATCH(B461, 'কাস্টমার তালিকা'!$B$4:$B$305, 0)))</f>
        <v/>
      </c>
      <c r="D461" s="8"/>
      <c r="E461" s="8"/>
      <c r="F461" s="13"/>
      <c r="G461" s="14"/>
      <c r="H461" s="9">
        <f>IF(ISBLANK(C461), "", SUMIFS(F$2:F461, C$2:C461, C461) - SUMIFS(G$2:G461, C$2:C461, C461))</f>
        <v>0</v>
      </c>
    </row>
    <row r="462" spans="1:8" ht="18" customHeight="1" x14ac:dyDescent="0.55000000000000004">
      <c r="A462" s="11"/>
      <c r="C462" s="12" t="str">
        <f>IF(ISBLANK(B462), "", INDEX('কাস্টমার তালিকা'!$A$4:$A$305, MATCH(B462, 'কাস্টমার তালিকা'!$B$4:$B$305, 0)))</f>
        <v/>
      </c>
      <c r="D462" s="8"/>
      <c r="E462" s="8"/>
      <c r="F462" s="13"/>
      <c r="G462" s="14"/>
      <c r="H462" s="9">
        <f>IF(ISBLANK(C462), "", SUMIFS(F$2:F462, C$2:C462, C462) - SUMIFS(G$2:G462, C$2:C462, C462))</f>
        <v>0</v>
      </c>
    </row>
    <row r="463" spans="1:8" ht="18" customHeight="1" x14ac:dyDescent="0.55000000000000004">
      <c r="A463" s="11"/>
      <c r="C463" s="12" t="str">
        <f>IF(ISBLANK(B463), "", INDEX('কাস্টমার তালিকা'!$A$4:$A$305, MATCH(B463, 'কাস্টমার তালিকা'!$B$4:$B$305, 0)))</f>
        <v/>
      </c>
      <c r="D463" s="8"/>
      <c r="E463" s="8"/>
      <c r="F463" s="13"/>
      <c r="G463" s="14"/>
      <c r="H463" s="9">
        <f>IF(ISBLANK(C463), "", SUMIFS(F$2:F463, C$2:C463, C463) - SUMIFS(G$2:G463, C$2:C463, C463))</f>
        <v>0</v>
      </c>
    </row>
    <row r="464" spans="1:8" ht="18" customHeight="1" x14ac:dyDescent="0.55000000000000004">
      <c r="A464" s="11"/>
      <c r="C464" s="12" t="str">
        <f>IF(ISBLANK(B464), "", INDEX('কাস্টমার তালিকা'!$A$4:$A$305, MATCH(B464, 'কাস্টমার তালিকা'!$B$4:$B$305, 0)))</f>
        <v/>
      </c>
      <c r="D464" s="8"/>
      <c r="E464" s="8"/>
      <c r="F464" s="13"/>
      <c r="G464" s="14"/>
      <c r="H464" s="9">
        <f>IF(ISBLANK(C464), "", SUMIFS(F$2:F464, C$2:C464, C464) - SUMIFS(G$2:G464, C$2:C464, C464))</f>
        <v>0</v>
      </c>
    </row>
    <row r="465" spans="1:8" ht="18" customHeight="1" x14ac:dyDescent="0.55000000000000004">
      <c r="A465" s="11"/>
      <c r="C465" s="12" t="str">
        <f>IF(ISBLANK(B465), "", INDEX('কাস্টমার তালিকা'!$A$4:$A$305, MATCH(B465, 'কাস্টমার তালিকা'!$B$4:$B$305, 0)))</f>
        <v/>
      </c>
      <c r="D465" s="8"/>
      <c r="E465" s="8"/>
      <c r="F465" s="13"/>
      <c r="G465" s="14"/>
      <c r="H465" s="9">
        <f>IF(ISBLANK(C465), "", SUMIFS(F$2:F465, C$2:C465, C465) - SUMIFS(G$2:G465, C$2:C465, C465))</f>
        <v>0</v>
      </c>
    </row>
    <row r="466" spans="1:8" ht="18" customHeight="1" x14ac:dyDescent="0.55000000000000004">
      <c r="A466" s="11"/>
      <c r="C466" s="12" t="str">
        <f>IF(ISBLANK(B466), "", INDEX('কাস্টমার তালিকা'!$A$4:$A$305, MATCH(B466, 'কাস্টমার তালিকা'!$B$4:$B$305, 0)))</f>
        <v/>
      </c>
      <c r="D466" s="8"/>
      <c r="E466" s="8"/>
      <c r="F466" s="13"/>
      <c r="G466" s="14"/>
      <c r="H466" s="9">
        <f>IF(ISBLANK(C466), "", SUMIFS(F$2:F466, C$2:C466, C466) - SUMIFS(G$2:G466, C$2:C466, C466))</f>
        <v>0</v>
      </c>
    </row>
    <row r="467" spans="1:8" ht="18" customHeight="1" x14ac:dyDescent="0.55000000000000004">
      <c r="A467" s="11"/>
      <c r="C467" s="12" t="str">
        <f>IF(ISBLANK(B467), "", INDEX('কাস্টমার তালিকা'!$A$4:$A$305, MATCH(B467, 'কাস্টমার তালিকা'!$B$4:$B$305, 0)))</f>
        <v/>
      </c>
      <c r="D467" s="8"/>
      <c r="E467" s="8"/>
      <c r="F467" s="13"/>
      <c r="G467" s="14"/>
      <c r="H467" s="9">
        <f>IF(ISBLANK(C467), "", SUMIFS(F$2:F467, C$2:C467, C467) - SUMIFS(G$2:G467, C$2:C467, C467))</f>
        <v>0</v>
      </c>
    </row>
    <row r="468" spans="1:8" ht="18" customHeight="1" x14ac:dyDescent="0.55000000000000004">
      <c r="A468" s="11"/>
      <c r="C468" s="12" t="str">
        <f>IF(ISBLANK(B468), "", INDEX('কাস্টমার তালিকা'!$A$4:$A$305, MATCH(B468, 'কাস্টমার তালিকা'!$B$4:$B$305, 0)))</f>
        <v/>
      </c>
      <c r="D468" s="8"/>
      <c r="E468" s="8"/>
      <c r="F468" s="13"/>
      <c r="G468" s="14"/>
      <c r="H468" s="9">
        <f>IF(ISBLANK(C468), "", SUMIFS(F$2:F468, C$2:C468, C468) - SUMIFS(G$2:G468, C$2:C468, C468))</f>
        <v>0</v>
      </c>
    </row>
    <row r="469" spans="1:8" ht="18" customHeight="1" x14ac:dyDescent="0.55000000000000004">
      <c r="A469" s="11"/>
      <c r="C469" s="12" t="str">
        <f>IF(ISBLANK(B469), "", INDEX('কাস্টমার তালিকা'!$A$4:$A$305, MATCH(B469, 'কাস্টমার তালিকা'!$B$4:$B$305, 0)))</f>
        <v/>
      </c>
      <c r="D469" s="8"/>
      <c r="E469" s="8"/>
      <c r="F469" s="13"/>
      <c r="G469" s="14"/>
      <c r="H469" s="9">
        <f>IF(ISBLANK(C469), "", SUMIFS(F$2:F469, C$2:C469, C469) - SUMIFS(G$2:G469, C$2:C469, C469))</f>
        <v>0</v>
      </c>
    </row>
    <row r="470" spans="1:8" ht="18" customHeight="1" x14ac:dyDescent="0.55000000000000004">
      <c r="A470" s="11"/>
      <c r="C470" s="12" t="str">
        <f>IF(ISBLANK(B470), "", INDEX('কাস্টমার তালিকা'!$A$4:$A$305, MATCH(B470, 'কাস্টমার তালিকা'!$B$4:$B$305, 0)))</f>
        <v/>
      </c>
      <c r="D470" s="8"/>
      <c r="E470" s="8"/>
      <c r="F470" s="13"/>
      <c r="G470" s="14"/>
      <c r="H470" s="9">
        <f>IF(ISBLANK(C470), "", SUMIFS(F$2:F470, C$2:C470, C470) - SUMIFS(G$2:G470, C$2:C470, C470))</f>
        <v>0</v>
      </c>
    </row>
    <row r="471" spans="1:8" ht="18" customHeight="1" x14ac:dyDescent="0.55000000000000004">
      <c r="A471" s="11"/>
      <c r="C471" s="12" t="str">
        <f>IF(ISBLANK(B471), "", INDEX('কাস্টমার তালিকা'!$A$4:$A$305, MATCH(B471, 'কাস্টমার তালিকা'!$B$4:$B$305, 0)))</f>
        <v/>
      </c>
      <c r="D471" s="8"/>
      <c r="E471" s="8"/>
      <c r="F471" s="13"/>
      <c r="G471" s="14"/>
      <c r="H471" s="9">
        <f>IF(ISBLANK(C471), "", SUMIFS(F$2:F471, C$2:C471, C471) - SUMIFS(G$2:G471, C$2:C471, C471))</f>
        <v>0</v>
      </c>
    </row>
    <row r="472" spans="1:8" ht="18" customHeight="1" x14ac:dyDescent="0.55000000000000004">
      <c r="A472" s="11"/>
      <c r="C472" s="12" t="str">
        <f>IF(ISBLANK(B472), "", INDEX('কাস্টমার তালিকা'!$A$4:$A$305, MATCH(B472, 'কাস্টমার তালিকা'!$B$4:$B$305, 0)))</f>
        <v/>
      </c>
      <c r="D472" s="8"/>
      <c r="E472" s="8"/>
      <c r="F472" s="13"/>
      <c r="G472" s="14"/>
      <c r="H472" s="9">
        <f>IF(ISBLANK(C472), "", SUMIFS(F$2:F472, C$2:C472, C472) - SUMIFS(G$2:G472, C$2:C472, C472))</f>
        <v>0</v>
      </c>
    </row>
    <row r="473" spans="1:8" ht="18" customHeight="1" x14ac:dyDescent="0.55000000000000004">
      <c r="A473" s="11"/>
      <c r="C473" s="12" t="str">
        <f>IF(ISBLANK(B473), "", INDEX('কাস্টমার তালিকা'!$A$4:$A$305, MATCH(B473, 'কাস্টমার তালিকা'!$B$4:$B$305, 0)))</f>
        <v/>
      </c>
      <c r="D473" s="8"/>
      <c r="E473" s="8"/>
      <c r="F473" s="13"/>
      <c r="G473" s="14"/>
      <c r="H473" s="9">
        <f>IF(ISBLANK(C473), "", SUMIFS(F$2:F473, C$2:C473, C473) - SUMIFS(G$2:G473, C$2:C473, C473))</f>
        <v>0</v>
      </c>
    </row>
    <row r="474" spans="1:8" ht="18" customHeight="1" x14ac:dyDescent="0.55000000000000004">
      <c r="A474" s="11"/>
      <c r="C474" s="12" t="str">
        <f>IF(ISBLANK(B474), "", INDEX('কাস্টমার তালিকা'!$A$4:$A$305, MATCH(B474, 'কাস্টমার তালিকা'!$B$4:$B$305, 0)))</f>
        <v/>
      </c>
      <c r="D474" s="8"/>
      <c r="E474" s="8"/>
      <c r="F474" s="13"/>
      <c r="G474" s="14"/>
      <c r="H474" s="9">
        <f>IF(ISBLANK(C474), "", SUMIFS(F$2:F474, C$2:C474, C474) - SUMIFS(G$2:G474, C$2:C474, C474))</f>
        <v>0</v>
      </c>
    </row>
    <row r="475" spans="1:8" ht="18" customHeight="1" x14ac:dyDescent="0.55000000000000004">
      <c r="A475" s="11"/>
      <c r="C475" s="12" t="str">
        <f>IF(ISBLANK(B475), "", INDEX('কাস্টমার তালিকা'!$A$4:$A$305, MATCH(B475, 'কাস্টমার তালিকা'!$B$4:$B$305, 0)))</f>
        <v/>
      </c>
      <c r="D475" s="8"/>
      <c r="E475" s="8"/>
      <c r="F475" s="13"/>
      <c r="G475" s="14"/>
      <c r="H475" s="9">
        <f>IF(ISBLANK(C475), "", SUMIFS(F$2:F475, C$2:C475, C475) - SUMIFS(G$2:G475, C$2:C475, C475))</f>
        <v>0</v>
      </c>
    </row>
    <row r="476" spans="1:8" ht="18" customHeight="1" x14ac:dyDescent="0.55000000000000004">
      <c r="A476" s="11"/>
      <c r="C476" s="12" t="str">
        <f>IF(ISBLANK(B476), "", INDEX('কাস্টমার তালিকা'!$A$4:$A$305, MATCH(B476, 'কাস্টমার তালিকা'!$B$4:$B$305, 0)))</f>
        <v/>
      </c>
      <c r="D476" s="8"/>
      <c r="E476" s="8"/>
      <c r="F476" s="13"/>
      <c r="G476" s="14"/>
      <c r="H476" s="9">
        <f>IF(ISBLANK(C476), "", SUMIFS(F$2:F476, C$2:C476, C476) - SUMIFS(G$2:G476, C$2:C476, C476))</f>
        <v>0</v>
      </c>
    </row>
    <row r="477" spans="1:8" ht="18" customHeight="1" x14ac:dyDescent="0.55000000000000004">
      <c r="A477" s="11"/>
      <c r="C477" s="12" t="str">
        <f>IF(ISBLANK(B477), "", INDEX('কাস্টমার তালিকা'!$A$4:$A$305, MATCH(B477, 'কাস্টমার তালিকা'!$B$4:$B$305, 0)))</f>
        <v/>
      </c>
      <c r="D477" s="8"/>
      <c r="E477" s="8"/>
      <c r="F477" s="13"/>
      <c r="G477" s="14"/>
      <c r="H477" s="9">
        <f>IF(ISBLANK(C477), "", SUMIFS(F$2:F477, C$2:C477, C477) - SUMIFS(G$2:G477, C$2:C477, C477))</f>
        <v>0</v>
      </c>
    </row>
    <row r="478" spans="1:8" ht="18" customHeight="1" x14ac:dyDescent="0.55000000000000004">
      <c r="A478" s="11"/>
      <c r="C478" s="12" t="str">
        <f>IF(ISBLANK(B478), "", INDEX('কাস্টমার তালিকা'!$A$4:$A$305, MATCH(B478, 'কাস্টমার তালিকা'!$B$4:$B$305, 0)))</f>
        <v/>
      </c>
      <c r="D478" s="8"/>
      <c r="E478" s="8"/>
      <c r="F478" s="13"/>
      <c r="G478" s="14"/>
      <c r="H478" s="9">
        <f>IF(ISBLANK(C478), "", SUMIFS(F$2:F478, C$2:C478, C478) - SUMIFS(G$2:G478, C$2:C478, C478))</f>
        <v>0</v>
      </c>
    </row>
    <row r="479" spans="1:8" ht="18" customHeight="1" x14ac:dyDescent="0.55000000000000004">
      <c r="A479" s="11"/>
      <c r="C479" s="12" t="str">
        <f>IF(ISBLANK(B479), "", INDEX('কাস্টমার তালিকা'!$A$4:$A$305, MATCH(B479, 'কাস্টমার তালিকা'!$B$4:$B$305, 0)))</f>
        <v/>
      </c>
      <c r="D479" s="8"/>
      <c r="E479" s="8"/>
      <c r="F479" s="13"/>
      <c r="G479" s="14"/>
      <c r="H479" s="9">
        <f>IF(ISBLANK(C479), "", SUMIFS(F$2:F479, C$2:C479, C479) - SUMIFS(G$2:G479, C$2:C479, C479))</f>
        <v>0</v>
      </c>
    </row>
    <row r="480" spans="1:8" ht="18" customHeight="1" x14ac:dyDescent="0.55000000000000004">
      <c r="A480" s="11"/>
      <c r="C480" s="12" t="str">
        <f>IF(ISBLANK(B480), "", INDEX('কাস্টমার তালিকা'!$A$4:$A$305, MATCH(B480, 'কাস্টমার তালিকা'!$B$4:$B$305, 0)))</f>
        <v/>
      </c>
      <c r="D480" s="8"/>
      <c r="E480" s="8"/>
      <c r="F480" s="13"/>
      <c r="G480" s="14"/>
      <c r="H480" s="9">
        <f>IF(ISBLANK(C480), "", SUMIFS(F$2:F480, C$2:C480, C480) - SUMIFS(G$2:G480, C$2:C480, C480))</f>
        <v>0</v>
      </c>
    </row>
    <row r="481" spans="1:8" ht="18" customHeight="1" x14ac:dyDescent="0.55000000000000004">
      <c r="A481" s="11"/>
      <c r="C481" s="12" t="str">
        <f>IF(ISBLANK(B481), "", INDEX('কাস্টমার তালিকা'!$A$4:$A$305, MATCH(B481, 'কাস্টমার তালিকা'!$B$4:$B$305, 0)))</f>
        <v/>
      </c>
      <c r="D481" s="8"/>
      <c r="E481" s="8"/>
      <c r="F481" s="13"/>
      <c r="G481" s="14"/>
      <c r="H481" s="9">
        <f>IF(ISBLANK(C481), "", SUMIFS(F$2:F481, C$2:C481, C481) - SUMIFS(G$2:G481, C$2:C481, C481))</f>
        <v>0</v>
      </c>
    </row>
    <row r="482" spans="1:8" ht="18" customHeight="1" x14ac:dyDescent="0.55000000000000004">
      <c r="A482" s="11"/>
      <c r="C482" s="12" t="str">
        <f>IF(ISBLANK(B482), "", INDEX('কাস্টমার তালিকা'!$A$4:$A$305, MATCH(B482, 'কাস্টমার তালিকা'!$B$4:$B$305, 0)))</f>
        <v/>
      </c>
      <c r="D482" s="8"/>
      <c r="E482" s="8"/>
      <c r="F482" s="13"/>
      <c r="G482" s="14"/>
      <c r="H482" s="9">
        <f>IF(ISBLANK(C482), "", SUMIFS(F$2:F482, C$2:C482, C482) - SUMIFS(G$2:G482, C$2:C482, C482))</f>
        <v>0</v>
      </c>
    </row>
    <row r="483" spans="1:8" ht="18" customHeight="1" x14ac:dyDescent="0.55000000000000004">
      <c r="A483" s="11"/>
      <c r="C483" s="12" t="str">
        <f>IF(ISBLANK(B483), "", INDEX('কাস্টমার তালিকা'!$A$4:$A$305, MATCH(B483, 'কাস্টমার তালিকা'!$B$4:$B$305, 0)))</f>
        <v/>
      </c>
      <c r="D483" s="8"/>
      <c r="E483" s="8"/>
      <c r="F483" s="13"/>
      <c r="G483" s="14"/>
      <c r="H483" s="9">
        <f>IF(ISBLANK(C483), "", SUMIFS(F$2:F483, C$2:C483, C483) - SUMIFS(G$2:G483, C$2:C483, C483))</f>
        <v>0</v>
      </c>
    </row>
    <row r="484" spans="1:8" ht="18" customHeight="1" x14ac:dyDescent="0.55000000000000004">
      <c r="A484" s="11"/>
      <c r="C484" s="12" t="str">
        <f>IF(ISBLANK(B484), "", INDEX('কাস্টমার তালিকা'!$A$4:$A$305, MATCH(B484, 'কাস্টমার তালিকা'!$B$4:$B$305, 0)))</f>
        <v/>
      </c>
      <c r="D484" s="8"/>
      <c r="E484" s="8"/>
      <c r="F484" s="13"/>
      <c r="G484" s="14"/>
      <c r="H484" s="9">
        <f>IF(ISBLANK(C484), "", SUMIFS(F$2:F484, C$2:C484, C484) - SUMIFS(G$2:G484, C$2:C484, C484))</f>
        <v>0</v>
      </c>
    </row>
    <row r="485" spans="1:8" ht="18" customHeight="1" x14ac:dyDescent="0.55000000000000004">
      <c r="A485" s="11"/>
      <c r="C485" s="12" t="str">
        <f>IF(ISBLANK(B485), "", INDEX('কাস্টমার তালিকা'!$A$4:$A$305, MATCH(B485, 'কাস্টমার তালিকা'!$B$4:$B$305, 0)))</f>
        <v/>
      </c>
      <c r="D485" s="8"/>
      <c r="E485" s="8"/>
      <c r="F485" s="13"/>
      <c r="G485" s="14"/>
      <c r="H485" s="9">
        <f>IF(ISBLANK(C485), "", SUMIFS(F$2:F485, C$2:C485, C485) - SUMIFS(G$2:G485, C$2:C485, C485))</f>
        <v>0</v>
      </c>
    </row>
    <row r="486" spans="1:8" ht="18" customHeight="1" x14ac:dyDescent="0.55000000000000004">
      <c r="A486" s="11"/>
      <c r="C486" s="12" t="str">
        <f>IF(ISBLANK(B486), "", INDEX('কাস্টমার তালিকা'!$A$4:$A$305, MATCH(B486, 'কাস্টমার তালিকা'!$B$4:$B$305, 0)))</f>
        <v/>
      </c>
      <c r="D486" s="8"/>
      <c r="E486" s="8"/>
      <c r="F486" s="13"/>
      <c r="G486" s="14"/>
      <c r="H486" s="9">
        <f>IF(ISBLANK(C486), "", SUMIFS(F$2:F486, C$2:C486, C486) - SUMIFS(G$2:G486, C$2:C486, C486))</f>
        <v>0</v>
      </c>
    </row>
    <row r="487" spans="1:8" ht="18" customHeight="1" x14ac:dyDescent="0.55000000000000004">
      <c r="A487" s="11"/>
      <c r="C487" s="12" t="str">
        <f>IF(ISBLANK(B487), "", INDEX('কাস্টমার তালিকা'!$A$4:$A$305, MATCH(B487, 'কাস্টমার তালিকা'!$B$4:$B$305, 0)))</f>
        <v/>
      </c>
      <c r="D487" s="8"/>
      <c r="E487" s="8"/>
      <c r="F487" s="13"/>
      <c r="G487" s="14"/>
      <c r="H487" s="9">
        <f>IF(ISBLANK(C487), "", SUMIFS(F$2:F487, C$2:C487, C487) - SUMIFS(G$2:G487, C$2:C487, C487))</f>
        <v>0</v>
      </c>
    </row>
    <row r="488" spans="1:8" ht="18" customHeight="1" x14ac:dyDescent="0.55000000000000004">
      <c r="A488" s="11"/>
      <c r="C488" s="12" t="str">
        <f>IF(ISBLANK(B488), "", INDEX('কাস্টমার তালিকা'!$A$4:$A$305, MATCH(B488, 'কাস্টমার তালিকা'!$B$4:$B$305, 0)))</f>
        <v/>
      </c>
      <c r="D488" s="8"/>
      <c r="E488" s="8"/>
      <c r="F488" s="13"/>
      <c r="G488" s="14"/>
      <c r="H488" s="9">
        <f>IF(ISBLANK(C488), "", SUMIFS(F$2:F488, C$2:C488, C488) - SUMIFS(G$2:G488, C$2:C488, C488))</f>
        <v>0</v>
      </c>
    </row>
    <row r="489" spans="1:8" ht="18" customHeight="1" x14ac:dyDescent="0.55000000000000004">
      <c r="A489" s="11"/>
      <c r="C489" s="12" t="str">
        <f>IF(ISBLANK(B489), "", INDEX('কাস্টমার তালিকা'!$A$4:$A$305, MATCH(B489, 'কাস্টমার তালিকা'!$B$4:$B$305, 0)))</f>
        <v/>
      </c>
      <c r="D489" s="8"/>
      <c r="E489" s="8"/>
      <c r="F489" s="13"/>
      <c r="G489" s="14"/>
      <c r="H489" s="9">
        <f>IF(ISBLANK(C489), "", SUMIFS(F$2:F489, C$2:C489, C489) - SUMIFS(G$2:G489, C$2:C489, C489))</f>
        <v>0</v>
      </c>
    </row>
    <row r="490" spans="1:8" ht="18" customHeight="1" x14ac:dyDescent="0.55000000000000004">
      <c r="A490" s="11"/>
      <c r="C490" s="12" t="str">
        <f>IF(ISBLANK(B490), "", INDEX('কাস্টমার তালিকা'!$A$4:$A$305, MATCH(B490, 'কাস্টমার তালিকা'!$B$4:$B$305, 0)))</f>
        <v/>
      </c>
      <c r="D490" s="8"/>
      <c r="E490" s="8"/>
      <c r="F490" s="13"/>
      <c r="G490" s="14"/>
      <c r="H490" s="9">
        <f>IF(ISBLANK(C490), "", SUMIFS(F$2:F490, C$2:C490, C490) - SUMIFS(G$2:G490, C$2:C490, C490))</f>
        <v>0</v>
      </c>
    </row>
    <row r="491" spans="1:8" ht="18" customHeight="1" x14ac:dyDescent="0.55000000000000004">
      <c r="A491" s="11"/>
      <c r="C491" s="12" t="str">
        <f>IF(ISBLANK(B491), "", INDEX('কাস্টমার তালিকা'!$A$4:$A$305, MATCH(B491, 'কাস্টমার তালিকা'!$B$4:$B$305, 0)))</f>
        <v/>
      </c>
      <c r="D491" s="8"/>
      <c r="E491" s="8"/>
      <c r="F491" s="13"/>
      <c r="G491" s="14"/>
      <c r="H491" s="9">
        <f>IF(ISBLANK(C491), "", SUMIFS(F$2:F491, C$2:C491, C491) - SUMIFS(G$2:G491, C$2:C491, C491))</f>
        <v>0</v>
      </c>
    </row>
    <row r="492" spans="1:8" ht="18" customHeight="1" x14ac:dyDescent="0.55000000000000004">
      <c r="A492" s="11"/>
      <c r="C492" s="12" t="str">
        <f>IF(ISBLANK(B492), "", INDEX('কাস্টমার তালিকা'!$A$4:$A$305, MATCH(B492, 'কাস্টমার তালিকা'!$B$4:$B$305, 0)))</f>
        <v/>
      </c>
      <c r="D492" s="8"/>
      <c r="E492" s="8"/>
      <c r="F492" s="13"/>
      <c r="G492" s="14"/>
      <c r="H492" s="9">
        <f>IF(ISBLANK(C492), "", SUMIFS(F$2:F492, C$2:C492, C492) - SUMIFS(G$2:G492, C$2:C492, C492))</f>
        <v>0</v>
      </c>
    </row>
    <row r="493" spans="1:8" ht="18" customHeight="1" x14ac:dyDescent="0.55000000000000004">
      <c r="A493" s="11"/>
      <c r="C493" s="12" t="str">
        <f>IF(ISBLANK(B493), "", INDEX('কাস্টমার তালিকা'!$A$4:$A$305, MATCH(B493, 'কাস্টমার তালিকা'!$B$4:$B$305, 0)))</f>
        <v/>
      </c>
      <c r="D493" s="8"/>
      <c r="E493" s="8"/>
      <c r="F493" s="13"/>
      <c r="G493" s="14"/>
      <c r="H493" s="9">
        <f>IF(ISBLANK(C493), "", SUMIFS(F$2:F493, C$2:C493, C493) - SUMIFS(G$2:G493, C$2:C493, C493))</f>
        <v>0</v>
      </c>
    </row>
    <row r="494" spans="1:8" ht="18" customHeight="1" x14ac:dyDescent="0.55000000000000004">
      <c r="A494" s="11"/>
      <c r="C494" s="12" t="str">
        <f>IF(ISBLANK(B494), "", INDEX('কাস্টমার তালিকা'!$A$4:$A$305, MATCH(B494, 'কাস্টমার তালিকা'!$B$4:$B$305, 0)))</f>
        <v/>
      </c>
      <c r="D494" s="8"/>
      <c r="E494" s="8"/>
      <c r="F494" s="13"/>
      <c r="G494" s="14"/>
      <c r="H494" s="9">
        <f>IF(ISBLANK(C494), "", SUMIFS(F$2:F494, C$2:C494, C494) - SUMIFS(G$2:G494, C$2:C494, C494))</f>
        <v>0</v>
      </c>
    </row>
    <row r="495" spans="1:8" ht="18" customHeight="1" x14ac:dyDescent="0.55000000000000004">
      <c r="A495" s="11"/>
      <c r="C495" s="12" t="str">
        <f>IF(ISBLANK(B495), "", INDEX('কাস্টমার তালিকা'!$A$4:$A$305, MATCH(B495, 'কাস্টমার তালিকা'!$B$4:$B$305, 0)))</f>
        <v/>
      </c>
      <c r="D495" s="8"/>
      <c r="E495" s="8"/>
      <c r="F495" s="13"/>
      <c r="G495" s="14"/>
      <c r="H495" s="9">
        <f>IF(ISBLANK(C495), "", SUMIFS(F$2:F495, C$2:C495, C495) - SUMIFS(G$2:G495, C$2:C495, C495))</f>
        <v>0</v>
      </c>
    </row>
    <row r="496" spans="1:8" ht="18" customHeight="1" x14ac:dyDescent="0.55000000000000004">
      <c r="A496" s="11"/>
      <c r="C496" s="12" t="str">
        <f>IF(ISBLANK(B496), "", INDEX('কাস্টমার তালিকা'!$A$4:$A$305, MATCH(B496, 'কাস্টমার তালিকা'!$B$4:$B$305, 0)))</f>
        <v/>
      </c>
      <c r="D496" s="8"/>
      <c r="E496" s="8"/>
      <c r="F496" s="13"/>
      <c r="G496" s="14"/>
      <c r="H496" s="9">
        <f>IF(ISBLANK(C496), "", SUMIFS(F$2:F496, C$2:C496, C496) - SUMIFS(G$2:G496, C$2:C496, C496))</f>
        <v>0</v>
      </c>
    </row>
    <row r="497" spans="1:8" ht="18" customHeight="1" x14ac:dyDescent="0.55000000000000004">
      <c r="A497" s="11"/>
      <c r="C497" s="12" t="str">
        <f>IF(ISBLANK(B497), "", INDEX('কাস্টমার তালিকা'!$A$4:$A$305, MATCH(B497, 'কাস্টমার তালিকা'!$B$4:$B$305, 0)))</f>
        <v/>
      </c>
      <c r="D497" s="8"/>
      <c r="E497" s="8"/>
      <c r="F497" s="13"/>
      <c r="G497" s="14"/>
      <c r="H497" s="9">
        <f>IF(ISBLANK(C497), "", SUMIFS(F$2:F497, C$2:C497, C497) - SUMIFS(G$2:G497, C$2:C497, C497))</f>
        <v>0</v>
      </c>
    </row>
    <row r="498" spans="1:8" ht="18" customHeight="1" x14ac:dyDescent="0.55000000000000004">
      <c r="A498" s="11"/>
      <c r="C498" s="12" t="str">
        <f>IF(ISBLANK(B498), "", INDEX('কাস্টমার তালিকা'!$A$4:$A$305, MATCH(B498, 'কাস্টমার তালিকা'!$B$4:$B$305, 0)))</f>
        <v/>
      </c>
      <c r="D498" s="8"/>
      <c r="E498" s="8"/>
      <c r="F498" s="13"/>
      <c r="G498" s="14"/>
      <c r="H498" s="9">
        <f>IF(ISBLANK(C498), "", SUMIFS(F$2:F498, C$2:C498, C498) - SUMIFS(G$2:G498, C$2:C498, C498))</f>
        <v>0</v>
      </c>
    </row>
    <row r="499" spans="1:8" ht="18" customHeight="1" x14ac:dyDescent="0.55000000000000004">
      <c r="A499" s="11"/>
      <c r="C499" s="12" t="str">
        <f>IF(ISBLANK(B499), "", INDEX('কাস্টমার তালিকা'!$A$4:$A$305, MATCH(B499, 'কাস্টমার তালিকা'!$B$4:$B$305, 0)))</f>
        <v/>
      </c>
      <c r="D499" s="8"/>
      <c r="E499" s="8"/>
      <c r="F499" s="13"/>
      <c r="G499" s="14"/>
      <c r="H499" s="9">
        <f>IF(ISBLANK(C499), "", SUMIFS(F$2:F499, C$2:C499, C499) - SUMIFS(G$2:G499, C$2:C499, C499))</f>
        <v>0</v>
      </c>
    </row>
    <row r="500" spans="1:8" ht="18" customHeight="1" x14ac:dyDescent="0.55000000000000004">
      <c r="A500" s="11"/>
      <c r="C500" s="12" t="str">
        <f>IF(ISBLANK(B500), "", INDEX('কাস্টমার তালিকা'!$A$4:$A$305, MATCH(B500, 'কাস্টমার তালিকা'!$B$4:$B$305, 0)))</f>
        <v/>
      </c>
      <c r="D500" s="8"/>
      <c r="E500" s="8"/>
      <c r="F500" s="13"/>
      <c r="G500" s="14"/>
      <c r="H500" s="9">
        <f>IF(ISBLANK(C500), "", SUMIFS(F$2:F500, C$2:C500, C500) - SUMIFS(G$2:G500, C$2:C500, C500))</f>
        <v>0</v>
      </c>
    </row>
    <row r="501" spans="1:8" ht="18" customHeight="1" x14ac:dyDescent="0.55000000000000004">
      <c r="A501" s="11"/>
      <c r="C501" s="12" t="str">
        <f>IF(ISBLANK(B501), "", INDEX('কাস্টমার তালিকা'!$A$4:$A$305, MATCH(B501, 'কাস্টমার তালিকা'!$B$4:$B$305, 0)))</f>
        <v/>
      </c>
      <c r="D501" s="8"/>
      <c r="E501" s="8"/>
      <c r="F501" s="13"/>
      <c r="G501" s="14"/>
      <c r="H501" s="9">
        <f>IF(ISBLANK(C501), "", SUMIFS(F$2:F501, C$2:C501, C501) - SUMIFS(G$2:G501, C$2:C501, C501))</f>
        <v>0</v>
      </c>
    </row>
    <row r="502" spans="1:8" ht="18" customHeight="1" x14ac:dyDescent="0.55000000000000004">
      <c r="A502" s="11"/>
      <c r="C502" s="12" t="str">
        <f>IF(ISBLANK(B502), "", INDEX('কাস্টমার তালিকা'!$A$4:$A$305, MATCH(B502, 'কাস্টমার তালিকা'!$B$4:$B$305, 0)))</f>
        <v/>
      </c>
      <c r="D502" s="8"/>
      <c r="E502" s="8"/>
      <c r="F502" s="13"/>
      <c r="G502" s="14"/>
      <c r="H502" s="9">
        <f>IF(ISBLANK(C502), "", SUMIFS(F$2:F502, C$2:C502, C502) - SUMIFS(G$2:G502, C$2:C502, C502))</f>
        <v>0</v>
      </c>
    </row>
    <row r="503" spans="1:8" ht="18" customHeight="1" x14ac:dyDescent="0.55000000000000004">
      <c r="A503" s="11"/>
      <c r="C503" s="12" t="str">
        <f>IF(ISBLANK(B503), "", INDEX('কাস্টমার তালিকা'!$A$4:$A$305, MATCH(B503, 'কাস্টমার তালিকা'!$B$4:$B$305, 0)))</f>
        <v/>
      </c>
      <c r="D503" s="8"/>
      <c r="E503" s="8"/>
      <c r="F503" s="13"/>
      <c r="G503" s="14"/>
      <c r="H503" s="9">
        <f>IF(ISBLANK(C503), "", SUMIFS(F$2:F503, C$2:C503, C503) - SUMIFS(G$2:G503, C$2:C503, C503))</f>
        <v>0</v>
      </c>
    </row>
    <row r="504" spans="1:8" ht="18" customHeight="1" x14ac:dyDescent="0.55000000000000004">
      <c r="A504" s="11"/>
      <c r="C504" s="12" t="str">
        <f>IF(ISBLANK(B504), "", INDEX('কাস্টমার তালিকা'!$A$4:$A$305, MATCH(B504, 'কাস্টমার তালিকা'!$B$4:$B$305, 0)))</f>
        <v/>
      </c>
      <c r="D504" s="8"/>
      <c r="E504" s="8"/>
      <c r="F504" s="13"/>
      <c r="G504" s="14"/>
      <c r="H504" s="9">
        <f>IF(ISBLANK(C504), "", SUMIFS(F$2:F504, C$2:C504, C504) - SUMIFS(G$2:G504, C$2:C504, C504))</f>
        <v>0</v>
      </c>
    </row>
    <row r="505" spans="1:8" ht="18" customHeight="1" x14ac:dyDescent="0.55000000000000004">
      <c r="A505" s="11"/>
      <c r="C505" s="12" t="str">
        <f>IF(ISBLANK(B505), "", INDEX('কাস্টমার তালিকা'!$A$4:$A$305, MATCH(B505, 'কাস্টমার তালিকা'!$B$4:$B$305, 0)))</f>
        <v/>
      </c>
      <c r="D505" s="8"/>
      <c r="E505" s="8"/>
      <c r="F505" s="13"/>
      <c r="G505" s="14"/>
      <c r="H505" s="9">
        <f>IF(ISBLANK(C505), "", SUMIFS(F$2:F505, C$2:C505, C505) - SUMIFS(G$2:G505, C$2:C505, C505))</f>
        <v>0</v>
      </c>
    </row>
    <row r="506" spans="1:8" ht="18" customHeight="1" x14ac:dyDescent="0.55000000000000004">
      <c r="A506" s="11"/>
      <c r="C506" s="12" t="str">
        <f>IF(ISBLANK(B506), "", INDEX('কাস্টমার তালিকা'!$A$4:$A$305, MATCH(B506, 'কাস্টমার তালিকা'!$B$4:$B$305, 0)))</f>
        <v/>
      </c>
      <c r="D506" s="8"/>
      <c r="E506" s="8"/>
      <c r="F506" s="13"/>
      <c r="G506" s="14"/>
      <c r="H506" s="9">
        <f>IF(ISBLANK(C506), "", SUMIFS(F$2:F506, C$2:C506, C506) - SUMIFS(G$2:G506, C$2:C506, C506))</f>
        <v>0</v>
      </c>
    </row>
    <row r="507" spans="1:8" ht="18" customHeight="1" x14ac:dyDescent="0.55000000000000004">
      <c r="A507" s="11"/>
      <c r="C507" s="12" t="str">
        <f>IF(ISBLANK(B507), "", INDEX('কাস্টমার তালিকা'!$A$4:$A$305, MATCH(B507, 'কাস্টমার তালিকা'!$B$4:$B$305, 0)))</f>
        <v/>
      </c>
      <c r="D507" s="8"/>
      <c r="E507" s="8"/>
      <c r="F507" s="13"/>
      <c r="G507" s="14"/>
      <c r="H507" s="9">
        <f>IF(ISBLANK(C507), "", SUMIFS(F$2:F507, C$2:C507, C507) - SUMIFS(G$2:G507, C$2:C507, C507))</f>
        <v>0</v>
      </c>
    </row>
    <row r="508" spans="1:8" ht="18" customHeight="1" x14ac:dyDescent="0.55000000000000004">
      <c r="A508" s="11"/>
      <c r="C508" s="12" t="str">
        <f>IF(ISBLANK(B508), "", INDEX('কাস্টমার তালিকা'!$A$4:$A$305, MATCH(B508, 'কাস্টমার তালিকা'!$B$4:$B$305, 0)))</f>
        <v/>
      </c>
      <c r="D508" s="8"/>
      <c r="E508" s="8"/>
      <c r="F508" s="13"/>
      <c r="G508" s="14"/>
      <c r="H508" s="9">
        <f>IF(ISBLANK(C508), "", SUMIFS(F$2:F508, C$2:C508, C508) - SUMIFS(G$2:G508, C$2:C508, C508))</f>
        <v>0</v>
      </c>
    </row>
    <row r="509" spans="1:8" ht="18" customHeight="1" x14ac:dyDescent="0.55000000000000004">
      <c r="A509" s="11"/>
      <c r="C509" s="12" t="str">
        <f>IF(ISBLANK(B509), "", INDEX('কাস্টমার তালিকা'!$A$4:$A$305, MATCH(B509, 'কাস্টমার তালিকা'!$B$4:$B$305, 0)))</f>
        <v/>
      </c>
      <c r="D509" s="8"/>
      <c r="E509" s="8"/>
      <c r="F509" s="13"/>
      <c r="G509" s="14"/>
      <c r="H509" s="9">
        <f>IF(ISBLANK(C509), "", SUMIFS(F$2:F509, C$2:C509, C509) - SUMIFS(G$2:G509, C$2:C509, C509))</f>
        <v>0</v>
      </c>
    </row>
    <row r="510" spans="1:8" ht="18" customHeight="1" x14ac:dyDescent="0.55000000000000004">
      <c r="A510" s="11"/>
      <c r="C510" s="12" t="str">
        <f>IF(ISBLANK(B510), "", INDEX('কাস্টমার তালিকা'!$A$4:$A$305, MATCH(B510, 'কাস্টমার তালিকা'!$B$4:$B$305, 0)))</f>
        <v/>
      </c>
      <c r="D510" s="8"/>
      <c r="E510" s="8"/>
      <c r="F510" s="13"/>
      <c r="G510" s="14"/>
      <c r="H510" s="9">
        <f>IF(ISBLANK(C510), "", SUMIFS(F$2:F510, C$2:C510, C510) - SUMIFS(G$2:G510, C$2:C510, C510))</f>
        <v>0</v>
      </c>
    </row>
    <row r="511" spans="1:8" ht="18" customHeight="1" x14ac:dyDescent="0.55000000000000004">
      <c r="A511" s="11"/>
      <c r="C511" s="12" t="str">
        <f>IF(ISBLANK(B511), "", INDEX('কাস্টমার তালিকা'!$A$4:$A$305, MATCH(B511, 'কাস্টমার তালিকা'!$B$4:$B$305, 0)))</f>
        <v/>
      </c>
      <c r="D511" s="8"/>
      <c r="E511" s="8"/>
      <c r="F511" s="13"/>
      <c r="G511" s="14"/>
      <c r="H511" s="9">
        <f>IF(ISBLANK(C511), "", SUMIFS(F$2:F511, C$2:C511, C511) - SUMIFS(G$2:G511, C$2:C511, C511))</f>
        <v>0</v>
      </c>
    </row>
    <row r="512" spans="1:8" ht="18" customHeight="1" x14ac:dyDescent="0.55000000000000004">
      <c r="A512" s="11"/>
      <c r="C512" s="12" t="str">
        <f>IF(ISBLANK(B512), "", INDEX('কাস্টমার তালিকা'!$A$4:$A$305, MATCH(B512, 'কাস্টমার তালিকা'!$B$4:$B$305, 0)))</f>
        <v/>
      </c>
      <c r="D512" s="8"/>
      <c r="E512" s="8"/>
      <c r="F512" s="13"/>
      <c r="G512" s="14"/>
      <c r="H512" s="9">
        <f>IF(ISBLANK(C512), "", SUMIFS(F$2:F512, C$2:C512, C512) - SUMIFS(G$2:G512, C$2:C512, C512))</f>
        <v>0</v>
      </c>
    </row>
    <row r="513" spans="1:8" ht="18" customHeight="1" x14ac:dyDescent="0.55000000000000004">
      <c r="A513" s="11"/>
      <c r="C513" s="12" t="str">
        <f>IF(ISBLANK(B513), "", INDEX('কাস্টমার তালিকা'!$A$4:$A$305, MATCH(B513, 'কাস্টমার তালিকা'!$B$4:$B$305, 0)))</f>
        <v/>
      </c>
      <c r="D513" s="8"/>
      <c r="E513" s="8"/>
      <c r="F513" s="13"/>
      <c r="G513" s="14"/>
      <c r="H513" s="9">
        <f>IF(ISBLANK(C513), "", SUMIFS(F$2:F513, C$2:C513, C513) - SUMIFS(G$2:G513, C$2:C513, C513))</f>
        <v>0</v>
      </c>
    </row>
    <row r="514" spans="1:8" ht="18" customHeight="1" x14ac:dyDescent="0.55000000000000004">
      <c r="A514" s="11"/>
      <c r="C514" s="12" t="str">
        <f>IF(ISBLANK(B514), "", INDEX('কাস্টমার তালিকা'!$A$4:$A$305, MATCH(B514, 'কাস্টমার তালিকা'!$B$4:$B$305, 0)))</f>
        <v/>
      </c>
      <c r="D514" s="8"/>
      <c r="E514" s="8"/>
      <c r="F514" s="13"/>
      <c r="G514" s="14"/>
      <c r="H514" s="9">
        <f>IF(ISBLANK(C514), "", SUMIFS(F$2:F514, C$2:C514, C514) - SUMIFS(G$2:G514, C$2:C514, C514))</f>
        <v>0</v>
      </c>
    </row>
    <row r="515" spans="1:8" ht="18" customHeight="1" x14ac:dyDescent="0.55000000000000004">
      <c r="A515" s="11"/>
      <c r="C515" s="12" t="str">
        <f>IF(ISBLANK(B515), "", INDEX('কাস্টমার তালিকা'!$A$4:$A$305, MATCH(B515, 'কাস্টমার তালিকা'!$B$4:$B$305, 0)))</f>
        <v/>
      </c>
      <c r="D515" s="8"/>
      <c r="E515" s="8"/>
      <c r="F515" s="13"/>
      <c r="G515" s="14"/>
      <c r="H515" s="9">
        <f>IF(ISBLANK(C515), "", SUMIFS(F$2:F515, C$2:C515, C515) - SUMIFS(G$2:G515, C$2:C515, C515))</f>
        <v>0</v>
      </c>
    </row>
    <row r="516" spans="1:8" ht="18" customHeight="1" x14ac:dyDescent="0.55000000000000004">
      <c r="A516" s="11"/>
      <c r="C516" s="12" t="str">
        <f>IF(ISBLANK(B516), "", INDEX('কাস্টমার তালিকা'!$A$4:$A$305, MATCH(B516, 'কাস্টমার তালিকা'!$B$4:$B$305, 0)))</f>
        <v/>
      </c>
      <c r="D516" s="8"/>
      <c r="E516" s="8"/>
      <c r="F516" s="13"/>
      <c r="G516" s="14"/>
      <c r="H516" s="9">
        <f>IF(ISBLANK(C516), "", SUMIFS(F$2:F516, C$2:C516, C516) - SUMIFS(G$2:G516, C$2:C516, C516))</f>
        <v>0</v>
      </c>
    </row>
    <row r="517" spans="1:8" ht="18" customHeight="1" x14ac:dyDescent="0.55000000000000004">
      <c r="A517" s="11"/>
      <c r="C517" s="12" t="str">
        <f>IF(ISBLANK(B517), "", INDEX('কাস্টমার তালিকা'!$A$4:$A$305, MATCH(B517, 'কাস্টমার তালিকা'!$B$4:$B$305, 0)))</f>
        <v/>
      </c>
      <c r="D517" s="8"/>
      <c r="E517" s="8"/>
      <c r="F517" s="13"/>
      <c r="G517" s="14"/>
      <c r="H517" s="9">
        <f>IF(ISBLANK(C517), "", SUMIFS(F$2:F517, C$2:C517, C517) - SUMIFS(G$2:G517, C$2:C517, C517))</f>
        <v>0</v>
      </c>
    </row>
    <row r="518" spans="1:8" ht="18" customHeight="1" x14ac:dyDescent="0.55000000000000004">
      <c r="A518" s="11"/>
      <c r="C518" s="12" t="str">
        <f>IF(ISBLANK(B518), "", INDEX('কাস্টমার তালিকা'!$A$4:$A$305, MATCH(B518, 'কাস্টমার তালিকা'!$B$4:$B$305, 0)))</f>
        <v/>
      </c>
      <c r="D518" s="8"/>
      <c r="E518" s="8"/>
      <c r="F518" s="13"/>
      <c r="G518" s="14"/>
      <c r="H518" s="9">
        <f>IF(ISBLANK(C518), "", SUMIFS(F$2:F518, C$2:C518, C518) - SUMIFS(G$2:G518, C$2:C518, C518))</f>
        <v>0</v>
      </c>
    </row>
    <row r="519" spans="1:8" ht="18" customHeight="1" x14ac:dyDescent="0.55000000000000004">
      <c r="A519" s="11"/>
      <c r="C519" s="12" t="str">
        <f>IF(ISBLANK(B519), "", INDEX('কাস্টমার তালিকা'!$A$4:$A$305, MATCH(B519, 'কাস্টমার তালিকা'!$B$4:$B$305, 0)))</f>
        <v/>
      </c>
      <c r="D519" s="8"/>
      <c r="E519" s="8"/>
      <c r="F519" s="13"/>
      <c r="G519" s="14"/>
      <c r="H519" s="9">
        <f>IF(ISBLANK(C519), "", SUMIFS(F$2:F519, C$2:C519, C519) - SUMIFS(G$2:G519, C$2:C519, C519))</f>
        <v>0</v>
      </c>
    </row>
    <row r="520" spans="1:8" ht="18" customHeight="1" x14ac:dyDescent="0.55000000000000004">
      <c r="A520" s="11"/>
      <c r="C520" s="12" t="str">
        <f>IF(ISBLANK(B520), "", INDEX('কাস্টমার তালিকা'!$A$4:$A$305, MATCH(B520, 'কাস্টমার তালিকা'!$B$4:$B$305, 0)))</f>
        <v/>
      </c>
      <c r="D520" s="8"/>
      <c r="E520" s="8"/>
      <c r="F520" s="13"/>
      <c r="G520" s="14"/>
      <c r="H520" s="9">
        <f>IF(ISBLANK(C520), "", SUMIFS(F$2:F520, C$2:C520, C520) - SUMIFS(G$2:G520, C$2:C520, C520))</f>
        <v>0</v>
      </c>
    </row>
    <row r="521" spans="1:8" ht="18" customHeight="1" x14ac:dyDescent="0.55000000000000004">
      <c r="A521" s="11"/>
      <c r="C521" s="12" t="str">
        <f>IF(ISBLANK(B521), "", INDEX('কাস্টমার তালিকা'!$A$4:$A$305, MATCH(B521, 'কাস্টমার তালিকা'!$B$4:$B$305, 0)))</f>
        <v/>
      </c>
      <c r="D521" s="8"/>
      <c r="E521" s="8"/>
      <c r="F521" s="13"/>
      <c r="G521" s="14"/>
      <c r="H521" s="9">
        <f>IF(ISBLANK(C521), "", SUMIFS(F$2:F521, C$2:C521, C521) - SUMIFS(G$2:G521, C$2:C521, C521))</f>
        <v>0</v>
      </c>
    </row>
    <row r="522" spans="1:8" ht="18" customHeight="1" x14ac:dyDescent="0.55000000000000004">
      <c r="A522" s="11"/>
      <c r="C522" s="12" t="str">
        <f>IF(ISBLANK(B522), "", INDEX('কাস্টমার তালিকা'!$A$4:$A$305, MATCH(B522, 'কাস্টমার তালিকা'!$B$4:$B$305, 0)))</f>
        <v/>
      </c>
      <c r="D522" s="8"/>
      <c r="E522" s="8"/>
      <c r="F522" s="13"/>
      <c r="G522" s="14"/>
      <c r="H522" s="9">
        <f>IF(ISBLANK(C522), "", SUMIFS(F$2:F522, C$2:C522, C522) - SUMIFS(G$2:G522, C$2:C522, C522))</f>
        <v>0</v>
      </c>
    </row>
    <row r="523" spans="1:8" ht="18" customHeight="1" x14ac:dyDescent="0.55000000000000004">
      <c r="A523" s="11"/>
      <c r="C523" s="12" t="str">
        <f>IF(ISBLANK(B523), "", INDEX('কাস্টমার তালিকা'!$A$4:$A$305, MATCH(B523, 'কাস্টমার তালিকা'!$B$4:$B$305, 0)))</f>
        <v/>
      </c>
      <c r="D523" s="8"/>
      <c r="E523" s="8"/>
      <c r="F523" s="13"/>
      <c r="G523" s="14"/>
      <c r="H523" s="9">
        <f>IF(ISBLANK(C523), "", SUMIFS(F$2:F523, C$2:C523, C523) - SUMIFS(G$2:G523, C$2:C523, C523))</f>
        <v>0</v>
      </c>
    </row>
    <row r="524" spans="1:8" ht="18" customHeight="1" x14ac:dyDescent="0.55000000000000004">
      <c r="A524" s="11"/>
      <c r="C524" s="12" t="str">
        <f>IF(ISBLANK(B524), "", INDEX('কাস্টমার তালিকা'!$A$4:$A$305, MATCH(B524, 'কাস্টমার তালিকা'!$B$4:$B$305, 0)))</f>
        <v/>
      </c>
      <c r="D524" s="8"/>
      <c r="E524" s="8"/>
      <c r="F524" s="13"/>
      <c r="G524" s="14"/>
      <c r="H524" s="9">
        <f>IF(ISBLANK(C524), "", SUMIFS(F$2:F524, C$2:C524, C524) - SUMIFS(G$2:G524, C$2:C524, C524))</f>
        <v>0</v>
      </c>
    </row>
    <row r="525" spans="1:8" ht="18" customHeight="1" x14ac:dyDescent="0.55000000000000004">
      <c r="A525" s="11"/>
      <c r="C525" s="12" t="str">
        <f>IF(ISBLANK(B525), "", INDEX('কাস্টমার তালিকা'!$A$4:$A$305, MATCH(B525, 'কাস্টমার তালিকা'!$B$4:$B$305, 0)))</f>
        <v/>
      </c>
      <c r="D525" s="8"/>
      <c r="E525" s="8"/>
      <c r="F525" s="13"/>
      <c r="G525" s="14"/>
      <c r="H525" s="9">
        <f>IF(ISBLANK(C525), "", SUMIFS(F$2:F525, C$2:C525, C525) - SUMIFS(G$2:G525, C$2:C525, C525))</f>
        <v>0</v>
      </c>
    </row>
    <row r="526" spans="1:8" ht="18" customHeight="1" x14ac:dyDescent="0.55000000000000004">
      <c r="A526" s="11"/>
      <c r="C526" s="12" t="str">
        <f>IF(ISBLANK(B526), "", INDEX('কাস্টমার তালিকা'!$A$4:$A$305, MATCH(B526, 'কাস্টমার তালিকা'!$B$4:$B$305, 0)))</f>
        <v/>
      </c>
      <c r="D526" s="8"/>
      <c r="E526" s="8"/>
      <c r="F526" s="13"/>
      <c r="G526" s="14"/>
      <c r="H526" s="9">
        <f>IF(ISBLANK(C526), "", SUMIFS(F$2:F526, C$2:C526, C526) - SUMIFS(G$2:G526, C$2:C526, C526))</f>
        <v>0</v>
      </c>
    </row>
    <row r="527" spans="1:8" ht="18" customHeight="1" x14ac:dyDescent="0.55000000000000004">
      <c r="A527" s="11"/>
      <c r="C527" s="12" t="str">
        <f>IF(ISBLANK(B527), "", INDEX('কাস্টমার তালিকা'!$A$4:$A$305, MATCH(B527, 'কাস্টমার তালিকা'!$B$4:$B$305, 0)))</f>
        <v/>
      </c>
      <c r="D527" s="8"/>
      <c r="E527" s="8"/>
      <c r="F527" s="13"/>
      <c r="G527" s="14"/>
      <c r="H527" s="9">
        <f>IF(ISBLANK(C527), "", SUMIFS(F$2:F527, C$2:C527, C527) - SUMIFS(G$2:G527, C$2:C527, C527))</f>
        <v>0</v>
      </c>
    </row>
    <row r="528" spans="1:8" ht="18" customHeight="1" x14ac:dyDescent="0.55000000000000004">
      <c r="A528" s="11"/>
      <c r="C528" s="12" t="str">
        <f>IF(ISBLANK(B528), "", INDEX('কাস্টমার তালিকা'!$A$4:$A$305, MATCH(B528, 'কাস্টমার তালিকা'!$B$4:$B$305, 0)))</f>
        <v/>
      </c>
      <c r="D528" s="8"/>
      <c r="E528" s="8"/>
      <c r="F528" s="13"/>
      <c r="G528" s="14"/>
      <c r="H528" s="9">
        <f>IF(ISBLANK(C528), "", SUMIFS(F$2:F528, C$2:C528, C528) - SUMIFS(G$2:G528, C$2:C528, C528))</f>
        <v>0</v>
      </c>
    </row>
    <row r="529" spans="1:8" ht="18" customHeight="1" x14ac:dyDescent="0.55000000000000004">
      <c r="A529" s="11"/>
      <c r="C529" s="12" t="str">
        <f>IF(ISBLANK(B529), "", INDEX('কাস্টমার তালিকা'!$A$4:$A$305, MATCH(B529, 'কাস্টমার তালিকা'!$B$4:$B$305, 0)))</f>
        <v/>
      </c>
      <c r="D529" s="8"/>
      <c r="E529" s="8"/>
      <c r="F529" s="13"/>
      <c r="G529" s="14"/>
      <c r="H529" s="9">
        <f>IF(ISBLANK(C529), "", SUMIFS(F$2:F529, C$2:C529, C529) - SUMIFS(G$2:G529, C$2:C529, C529))</f>
        <v>0</v>
      </c>
    </row>
    <row r="530" spans="1:8" ht="18" customHeight="1" x14ac:dyDescent="0.55000000000000004">
      <c r="A530" s="11"/>
      <c r="C530" s="12" t="str">
        <f>IF(ISBLANK(B530), "", INDEX('কাস্টমার তালিকা'!$A$4:$A$305, MATCH(B530, 'কাস্টমার তালিকা'!$B$4:$B$305, 0)))</f>
        <v/>
      </c>
      <c r="D530" s="8"/>
      <c r="E530" s="8"/>
      <c r="F530" s="13"/>
      <c r="G530" s="14"/>
      <c r="H530" s="9">
        <f>IF(ISBLANK(C530), "", SUMIFS(F$2:F530, C$2:C530, C530) - SUMIFS(G$2:G530, C$2:C530, C530))</f>
        <v>0</v>
      </c>
    </row>
    <row r="531" spans="1:8" ht="18" customHeight="1" x14ac:dyDescent="0.55000000000000004">
      <c r="A531" s="11"/>
      <c r="C531" s="12" t="str">
        <f>IF(ISBLANK(B531), "", INDEX('কাস্টমার তালিকা'!$A$4:$A$305, MATCH(B531, 'কাস্টমার তালিকা'!$B$4:$B$305, 0)))</f>
        <v/>
      </c>
      <c r="D531" s="8"/>
      <c r="E531" s="8"/>
      <c r="F531" s="13"/>
      <c r="G531" s="14"/>
      <c r="H531" s="9">
        <f>IF(ISBLANK(C531), "", SUMIFS(F$2:F531, C$2:C531, C531) - SUMIFS(G$2:G531, C$2:C531, C531))</f>
        <v>0</v>
      </c>
    </row>
    <row r="532" spans="1:8" ht="18" customHeight="1" x14ac:dyDescent="0.55000000000000004">
      <c r="A532" s="11"/>
      <c r="C532" s="12" t="str">
        <f>IF(ISBLANK(B532), "", INDEX('কাস্টমার তালিকা'!$A$4:$A$305, MATCH(B532, 'কাস্টমার তালিকা'!$B$4:$B$305, 0)))</f>
        <v/>
      </c>
      <c r="D532" s="8"/>
      <c r="E532" s="8"/>
      <c r="F532" s="13"/>
      <c r="G532" s="14"/>
      <c r="H532" s="9">
        <f>IF(ISBLANK(C532), "", SUMIFS(F$2:F532, C$2:C532, C532) - SUMIFS(G$2:G532, C$2:C532, C532))</f>
        <v>0</v>
      </c>
    </row>
    <row r="533" spans="1:8" ht="18" customHeight="1" x14ac:dyDescent="0.55000000000000004">
      <c r="A533" s="11"/>
      <c r="C533" s="12" t="str">
        <f>IF(ISBLANK(B533), "", INDEX('কাস্টমার তালিকা'!$A$4:$A$305, MATCH(B533, 'কাস্টমার তালিকা'!$B$4:$B$305, 0)))</f>
        <v/>
      </c>
      <c r="D533" s="8"/>
      <c r="E533" s="8"/>
      <c r="F533" s="13"/>
      <c r="G533" s="14"/>
      <c r="H533" s="9">
        <f>IF(ISBLANK(C533), "", SUMIFS(F$2:F533, C$2:C533, C533) - SUMIFS(G$2:G533, C$2:C533, C533))</f>
        <v>0</v>
      </c>
    </row>
    <row r="534" spans="1:8" ht="18" customHeight="1" x14ac:dyDescent="0.55000000000000004">
      <c r="A534" s="11"/>
      <c r="C534" s="12" t="str">
        <f>IF(ISBLANK(B534), "", INDEX('কাস্টমার তালিকা'!$A$4:$A$305, MATCH(B534, 'কাস্টমার তালিকা'!$B$4:$B$305, 0)))</f>
        <v/>
      </c>
      <c r="D534" s="8"/>
      <c r="E534" s="8"/>
      <c r="F534" s="13"/>
      <c r="G534" s="14"/>
      <c r="H534" s="9">
        <f>IF(ISBLANK(C534), "", SUMIFS(F$2:F534, C$2:C534, C534) - SUMIFS(G$2:G534, C$2:C534, C534))</f>
        <v>0</v>
      </c>
    </row>
    <row r="535" spans="1:8" ht="18" customHeight="1" x14ac:dyDescent="0.55000000000000004">
      <c r="A535" s="11"/>
      <c r="C535" s="12" t="str">
        <f>IF(ISBLANK(B535), "", INDEX('কাস্টমার তালিকা'!$A$4:$A$305, MATCH(B535, 'কাস্টমার তালিকা'!$B$4:$B$305, 0)))</f>
        <v/>
      </c>
      <c r="D535" s="8"/>
      <c r="E535" s="8"/>
      <c r="F535" s="13"/>
      <c r="G535" s="14"/>
      <c r="H535" s="9">
        <f>IF(ISBLANK(C535), "", SUMIFS(F$2:F535, C$2:C535, C535) - SUMIFS(G$2:G535, C$2:C535, C535))</f>
        <v>0</v>
      </c>
    </row>
    <row r="536" spans="1:8" ht="18" customHeight="1" x14ac:dyDescent="0.55000000000000004">
      <c r="A536" s="11"/>
      <c r="C536" s="12" t="str">
        <f>IF(ISBLANK(B536), "", INDEX('কাস্টমার তালিকা'!$A$4:$A$305, MATCH(B536, 'কাস্টমার তালিকা'!$B$4:$B$305, 0)))</f>
        <v/>
      </c>
      <c r="D536" s="8"/>
      <c r="E536" s="8"/>
      <c r="F536" s="13"/>
      <c r="G536" s="14"/>
      <c r="H536" s="9">
        <f>IF(ISBLANK(C536), "", SUMIFS(F$2:F536, C$2:C536, C536) - SUMIFS(G$2:G536, C$2:C536, C536))</f>
        <v>0</v>
      </c>
    </row>
    <row r="537" spans="1:8" ht="18" customHeight="1" x14ac:dyDescent="0.55000000000000004">
      <c r="A537" s="11"/>
      <c r="C537" s="12" t="str">
        <f>IF(ISBLANK(B537), "", INDEX('কাস্টমার তালিকা'!$A$4:$A$305, MATCH(B537, 'কাস্টমার তালিকা'!$B$4:$B$305, 0)))</f>
        <v/>
      </c>
      <c r="D537" s="8"/>
      <c r="E537" s="8"/>
      <c r="F537" s="13"/>
      <c r="G537" s="14"/>
      <c r="H537" s="9">
        <f>IF(ISBLANK(C537), "", SUMIFS(F$2:F537, C$2:C537, C537) - SUMIFS(G$2:G537, C$2:C537, C537))</f>
        <v>0</v>
      </c>
    </row>
    <row r="538" spans="1:8" ht="18" customHeight="1" x14ac:dyDescent="0.55000000000000004">
      <c r="A538" s="11"/>
      <c r="C538" s="12" t="str">
        <f>IF(ISBLANK(B538), "", INDEX('কাস্টমার তালিকা'!$A$4:$A$305, MATCH(B538, 'কাস্টমার তালিকা'!$B$4:$B$305, 0)))</f>
        <v/>
      </c>
      <c r="D538" s="8"/>
      <c r="E538" s="8"/>
      <c r="F538" s="13"/>
      <c r="G538" s="14"/>
      <c r="H538" s="9">
        <f>IF(ISBLANK(C538), "", SUMIFS(F$2:F538, C$2:C538, C538) - SUMIFS(G$2:G538, C$2:C538, C538))</f>
        <v>0</v>
      </c>
    </row>
    <row r="539" spans="1:8" ht="18" customHeight="1" x14ac:dyDescent="0.55000000000000004">
      <c r="A539" s="11"/>
      <c r="C539" s="12" t="str">
        <f>IF(ISBLANK(B539), "", INDEX('কাস্টমার তালিকা'!$A$4:$A$305, MATCH(B539, 'কাস্টমার তালিকা'!$B$4:$B$305, 0)))</f>
        <v/>
      </c>
      <c r="D539" s="8"/>
      <c r="E539" s="8"/>
      <c r="F539" s="13"/>
      <c r="G539" s="14"/>
      <c r="H539" s="9">
        <f>IF(ISBLANK(C539), "", SUMIFS(F$2:F539, C$2:C539, C539) - SUMIFS(G$2:G539, C$2:C539, C539))</f>
        <v>0</v>
      </c>
    </row>
    <row r="540" spans="1:8" ht="18" customHeight="1" x14ac:dyDescent="0.55000000000000004">
      <c r="A540" s="11"/>
      <c r="C540" s="12" t="str">
        <f>IF(ISBLANK(B540), "", INDEX('কাস্টমার তালিকা'!$A$4:$A$305, MATCH(B540, 'কাস্টমার তালিকা'!$B$4:$B$305, 0)))</f>
        <v/>
      </c>
      <c r="D540" s="8"/>
      <c r="E540" s="8"/>
      <c r="F540" s="13"/>
      <c r="G540" s="14"/>
      <c r="H540" s="9">
        <f>IF(ISBLANK(C540), "", SUMIFS(F$2:F540, C$2:C540, C540) - SUMIFS(G$2:G540, C$2:C540, C540))</f>
        <v>0</v>
      </c>
    </row>
    <row r="541" spans="1:8" ht="18" customHeight="1" x14ac:dyDescent="0.55000000000000004">
      <c r="A541" s="11"/>
      <c r="C541" s="12" t="str">
        <f>IF(ISBLANK(B541), "", INDEX('কাস্টমার তালিকা'!$A$4:$A$305, MATCH(B541, 'কাস্টমার তালিকা'!$B$4:$B$305, 0)))</f>
        <v/>
      </c>
      <c r="D541" s="8"/>
      <c r="E541" s="8"/>
      <c r="F541" s="13"/>
      <c r="G541" s="14"/>
      <c r="H541" s="9">
        <f>IF(ISBLANK(C541), "", SUMIFS(F$2:F541, C$2:C541, C541) - SUMIFS(G$2:G541, C$2:C541, C541))</f>
        <v>0</v>
      </c>
    </row>
    <row r="542" spans="1:8" ht="18" customHeight="1" x14ac:dyDescent="0.55000000000000004">
      <c r="A542" s="11"/>
      <c r="C542" s="12" t="str">
        <f>IF(ISBLANK(B542), "", INDEX('কাস্টমার তালিকা'!$A$4:$A$305, MATCH(B542, 'কাস্টমার তালিকা'!$B$4:$B$305, 0)))</f>
        <v/>
      </c>
      <c r="D542" s="8"/>
      <c r="E542" s="8"/>
      <c r="F542" s="13"/>
      <c r="G542" s="14"/>
      <c r="H542" s="9">
        <f>IF(ISBLANK(C542), "", SUMIFS(F$2:F542, C$2:C542, C542) - SUMIFS(G$2:G542, C$2:C542, C542))</f>
        <v>0</v>
      </c>
    </row>
    <row r="543" spans="1:8" ht="18" customHeight="1" x14ac:dyDescent="0.55000000000000004">
      <c r="A543" s="11"/>
      <c r="C543" s="12" t="str">
        <f>IF(ISBLANK(B543), "", INDEX('কাস্টমার তালিকা'!$A$4:$A$305, MATCH(B543, 'কাস্টমার তালিকা'!$B$4:$B$305, 0)))</f>
        <v/>
      </c>
      <c r="D543" s="8"/>
      <c r="E543" s="8"/>
      <c r="F543" s="13"/>
      <c r="G543" s="14"/>
      <c r="H543" s="9">
        <f>IF(ISBLANK(C543), "", SUMIFS(F$2:F543, C$2:C543, C543) - SUMIFS(G$2:G543, C$2:C543, C543))</f>
        <v>0</v>
      </c>
    </row>
    <row r="544" spans="1:8" ht="18" customHeight="1" x14ac:dyDescent="0.55000000000000004">
      <c r="A544" s="11"/>
      <c r="C544" s="12" t="str">
        <f>IF(ISBLANK(B544), "", INDEX('কাস্টমার তালিকা'!$A$4:$A$305, MATCH(B544, 'কাস্টমার তালিকা'!$B$4:$B$305, 0)))</f>
        <v/>
      </c>
      <c r="D544" s="8"/>
      <c r="E544" s="8"/>
      <c r="F544" s="13"/>
      <c r="G544" s="14"/>
      <c r="H544" s="9">
        <f>IF(ISBLANK(C544), "", SUMIFS(F$2:F544, C$2:C544, C544) - SUMIFS(G$2:G544, C$2:C544, C544))</f>
        <v>0</v>
      </c>
    </row>
    <row r="545" spans="1:8" ht="18" customHeight="1" x14ac:dyDescent="0.55000000000000004">
      <c r="A545" s="11"/>
      <c r="C545" s="12" t="str">
        <f>IF(ISBLANK(B545), "", INDEX('কাস্টমার তালিকা'!$A$4:$A$305, MATCH(B545, 'কাস্টমার তালিকা'!$B$4:$B$305, 0)))</f>
        <v/>
      </c>
      <c r="D545" s="8"/>
      <c r="E545" s="8"/>
      <c r="F545" s="13"/>
      <c r="G545" s="14"/>
      <c r="H545" s="9">
        <f>IF(ISBLANK(C545), "", SUMIFS(F$2:F545, C$2:C545, C545) - SUMIFS(G$2:G545, C$2:C545, C545))</f>
        <v>0</v>
      </c>
    </row>
    <row r="546" spans="1:8" ht="18" customHeight="1" x14ac:dyDescent="0.55000000000000004">
      <c r="A546" s="11"/>
      <c r="C546" s="12" t="str">
        <f>IF(ISBLANK(B546), "", INDEX('কাস্টমার তালিকা'!$A$4:$A$305, MATCH(B546, 'কাস্টমার তালিকা'!$B$4:$B$305, 0)))</f>
        <v/>
      </c>
      <c r="D546" s="8"/>
      <c r="E546" s="8"/>
      <c r="F546" s="13"/>
      <c r="G546" s="14"/>
      <c r="H546" s="9">
        <f>IF(ISBLANK(C546), "", SUMIFS(F$2:F546, C$2:C546, C546) - SUMIFS(G$2:G546, C$2:C546, C546))</f>
        <v>0</v>
      </c>
    </row>
    <row r="547" spans="1:8" ht="18" customHeight="1" x14ac:dyDescent="0.55000000000000004">
      <c r="A547" s="11"/>
      <c r="C547" s="12" t="str">
        <f>IF(ISBLANK(B547), "", INDEX('কাস্টমার তালিকা'!$A$4:$A$305, MATCH(B547, 'কাস্টমার তালিকা'!$B$4:$B$305, 0)))</f>
        <v/>
      </c>
      <c r="D547" s="8"/>
      <c r="E547" s="8"/>
      <c r="F547" s="13"/>
      <c r="G547" s="14"/>
      <c r="H547" s="9">
        <f>IF(ISBLANK(C547), "", SUMIFS(F$2:F547, C$2:C547, C547) - SUMIFS(G$2:G547, C$2:C547, C547))</f>
        <v>0</v>
      </c>
    </row>
    <row r="548" spans="1:8" ht="18" customHeight="1" x14ac:dyDescent="0.55000000000000004">
      <c r="A548" s="11"/>
      <c r="C548" s="12" t="str">
        <f>IF(ISBLANK(B548), "", INDEX('কাস্টমার তালিকা'!$A$4:$A$305, MATCH(B548, 'কাস্টমার তালিকা'!$B$4:$B$305, 0)))</f>
        <v/>
      </c>
      <c r="D548" s="8"/>
      <c r="E548" s="8"/>
      <c r="F548" s="13"/>
      <c r="G548" s="14"/>
      <c r="H548" s="9">
        <f>IF(ISBLANK(C548), "", SUMIFS(F$2:F548, C$2:C548, C548) - SUMIFS(G$2:G548, C$2:C548, C548))</f>
        <v>0</v>
      </c>
    </row>
    <row r="549" spans="1:8" ht="18" customHeight="1" x14ac:dyDescent="0.55000000000000004">
      <c r="A549" s="11"/>
      <c r="C549" s="12" t="str">
        <f>IF(ISBLANK(B549), "", INDEX('কাস্টমার তালিকা'!$A$4:$A$305, MATCH(B549, 'কাস্টমার তালিকা'!$B$4:$B$305, 0)))</f>
        <v/>
      </c>
      <c r="D549" s="8"/>
      <c r="E549" s="8"/>
      <c r="F549" s="13"/>
      <c r="G549" s="14"/>
      <c r="H549" s="9">
        <f>IF(ISBLANK(C549), "", SUMIFS(F$2:F549, C$2:C549, C549) - SUMIFS(G$2:G549, C$2:C549, C549))</f>
        <v>0</v>
      </c>
    </row>
    <row r="550" spans="1:8" ht="18" customHeight="1" x14ac:dyDescent="0.55000000000000004">
      <c r="A550" s="11"/>
      <c r="C550" s="12" t="str">
        <f>IF(ISBLANK(B550), "", INDEX('কাস্টমার তালিকা'!$A$4:$A$305, MATCH(B550, 'কাস্টমার তালিকা'!$B$4:$B$305, 0)))</f>
        <v/>
      </c>
      <c r="D550" s="8"/>
      <c r="E550" s="8"/>
      <c r="F550" s="13"/>
      <c r="G550" s="14"/>
      <c r="H550" s="9">
        <f>IF(ISBLANK(C550), "", SUMIFS(F$2:F550, C$2:C550, C550) - SUMIFS(G$2:G550, C$2:C550, C550))</f>
        <v>0</v>
      </c>
    </row>
    <row r="551" spans="1:8" ht="18" customHeight="1" x14ac:dyDescent="0.55000000000000004">
      <c r="A551" s="11"/>
      <c r="C551" s="12" t="str">
        <f>IF(ISBLANK(B551), "", INDEX('কাস্টমার তালিকা'!$A$4:$A$305, MATCH(B551, 'কাস্টমার তালিকা'!$B$4:$B$305, 0)))</f>
        <v/>
      </c>
      <c r="D551" s="8"/>
      <c r="E551" s="8"/>
      <c r="F551" s="13"/>
      <c r="G551" s="14"/>
      <c r="H551" s="9">
        <f>IF(ISBLANK(C551), "", SUMIFS(F$2:F551, C$2:C551, C551) - SUMIFS(G$2:G551, C$2:C551, C551))</f>
        <v>0</v>
      </c>
    </row>
    <row r="552" spans="1:8" ht="18" customHeight="1" x14ac:dyDescent="0.55000000000000004">
      <c r="A552" s="11"/>
      <c r="C552" s="12" t="str">
        <f>IF(ISBLANK(B552), "", INDEX('কাস্টমার তালিকা'!$A$4:$A$305, MATCH(B552, 'কাস্টমার তালিকা'!$B$4:$B$305, 0)))</f>
        <v/>
      </c>
      <c r="D552" s="8"/>
      <c r="E552" s="8"/>
      <c r="F552" s="13"/>
      <c r="G552" s="14"/>
      <c r="H552" s="9">
        <f>IF(ISBLANK(C552), "", SUMIFS(F$2:F552, C$2:C552, C552) - SUMIFS(G$2:G552, C$2:C552, C552))</f>
        <v>0</v>
      </c>
    </row>
    <row r="553" spans="1:8" ht="18" customHeight="1" x14ac:dyDescent="0.55000000000000004">
      <c r="A553" s="11"/>
      <c r="C553" s="12" t="str">
        <f>IF(ISBLANK(B553), "", INDEX('কাস্টমার তালিকা'!$A$4:$A$305, MATCH(B553, 'কাস্টমার তালিকা'!$B$4:$B$305, 0)))</f>
        <v/>
      </c>
      <c r="D553" s="8"/>
      <c r="E553" s="8"/>
      <c r="F553" s="13"/>
      <c r="G553" s="14"/>
      <c r="H553" s="9">
        <f>IF(ISBLANK(C553), "", SUMIFS(F$2:F553, C$2:C553, C553) - SUMIFS(G$2:G553, C$2:C553, C553))</f>
        <v>0</v>
      </c>
    </row>
    <row r="554" spans="1:8" ht="18" customHeight="1" x14ac:dyDescent="0.55000000000000004">
      <c r="A554" s="11"/>
      <c r="C554" s="12" t="str">
        <f>IF(ISBLANK(B554), "", INDEX('কাস্টমার তালিকা'!$A$4:$A$305, MATCH(B554, 'কাস্টমার তালিকা'!$B$4:$B$305, 0)))</f>
        <v/>
      </c>
      <c r="D554" s="8"/>
      <c r="E554" s="8"/>
      <c r="F554" s="13"/>
      <c r="G554" s="14"/>
      <c r="H554" s="9">
        <f>IF(ISBLANK(C554), "", SUMIFS(F$2:F554, C$2:C554, C554) - SUMIFS(G$2:G554, C$2:C554, C554))</f>
        <v>0</v>
      </c>
    </row>
    <row r="555" spans="1:8" ht="18" customHeight="1" x14ac:dyDescent="0.55000000000000004">
      <c r="A555" s="11"/>
      <c r="C555" s="12" t="str">
        <f>IF(ISBLANK(B555), "", INDEX('কাস্টমার তালিকা'!$A$4:$A$305, MATCH(B555, 'কাস্টমার তালিকা'!$B$4:$B$305, 0)))</f>
        <v/>
      </c>
      <c r="D555" s="8"/>
      <c r="E555" s="8"/>
      <c r="F555" s="13"/>
      <c r="G555" s="14"/>
      <c r="H555" s="9">
        <f>IF(ISBLANK(C555), "", SUMIFS(F$2:F555, C$2:C555, C555) - SUMIFS(G$2:G555, C$2:C555, C555))</f>
        <v>0</v>
      </c>
    </row>
    <row r="556" spans="1:8" ht="18" customHeight="1" x14ac:dyDescent="0.55000000000000004">
      <c r="A556" s="11"/>
      <c r="C556" s="12" t="str">
        <f>IF(ISBLANK(B556), "", INDEX('কাস্টমার তালিকা'!$A$4:$A$305, MATCH(B556, 'কাস্টমার তালিকা'!$B$4:$B$305, 0)))</f>
        <v/>
      </c>
      <c r="D556" s="8"/>
      <c r="E556" s="8"/>
      <c r="F556" s="13"/>
      <c r="G556" s="14"/>
      <c r="H556" s="9">
        <f>IF(ISBLANK(C556), "", SUMIFS(F$2:F556, C$2:C556, C556) - SUMIFS(G$2:G556, C$2:C556, C556))</f>
        <v>0</v>
      </c>
    </row>
    <row r="557" spans="1:8" ht="18" customHeight="1" x14ac:dyDescent="0.55000000000000004">
      <c r="A557" s="11"/>
      <c r="C557" s="12" t="str">
        <f>IF(ISBLANK(B557), "", INDEX('কাস্টমার তালিকা'!$A$4:$A$305, MATCH(B557, 'কাস্টমার তালিকা'!$B$4:$B$305, 0)))</f>
        <v/>
      </c>
      <c r="D557" s="8"/>
      <c r="E557" s="8"/>
      <c r="F557" s="13"/>
      <c r="G557" s="14"/>
      <c r="H557" s="9">
        <f>IF(ISBLANK(C557), "", SUMIFS(F$2:F557, C$2:C557, C557) - SUMIFS(G$2:G557, C$2:C557, C557))</f>
        <v>0</v>
      </c>
    </row>
    <row r="558" spans="1:8" ht="18" customHeight="1" x14ac:dyDescent="0.55000000000000004">
      <c r="A558" s="11"/>
      <c r="C558" s="12" t="str">
        <f>IF(ISBLANK(B558), "", INDEX('কাস্টমার তালিকা'!$A$4:$A$305, MATCH(B558, 'কাস্টমার তালিকা'!$B$4:$B$305, 0)))</f>
        <v/>
      </c>
      <c r="D558" s="8"/>
      <c r="E558" s="8"/>
      <c r="F558" s="13"/>
      <c r="G558" s="14"/>
      <c r="H558" s="9">
        <f>IF(ISBLANK(C558), "", SUMIFS(F$2:F558, C$2:C558, C558) - SUMIFS(G$2:G558, C$2:C558, C558))</f>
        <v>0</v>
      </c>
    </row>
    <row r="559" spans="1:8" ht="18" customHeight="1" x14ac:dyDescent="0.55000000000000004">
      <c r="A559" s="11"/>
      <c r="C559" s="12" t="str">
        <f>IF(ISBLANK(B559), "", INDEX('কাস্টমার তালিকা'!$A$4:$A$305, MATCH(B559, 'কাস্টমার তালিকা'!$B$4:$B$305, 0)))</f>
        <v/>
      </c>
      <c r="D559" s="8"/>
      <c r="E559" s="8"/>
      <c r="F559" s="13"/>
      <c r="G559" s="14"/>
      <c r="H559" s="9">
        <f>IF(ISBLANK(C559), "", SUMIFS(F$2:F559, C$2:C559, C559) - SUMIFS(G$2:G559, C$2:C559, C559))</f>
        <v>0</v>
      </c>
    </row>
    <row r="560" spans="1:8" ht="18" customHeight="1" x14ac:dyDescent="0.55000000000000004">
      <c r="A560" s="11"/>
      <c r="C560" s="12" t="str">
        <f>IF(ISBLANK(B560), "", INDEX('কাস্টমার তালিকা'!$A$4:$A$305, MATCH(B560, 'কাস্টমার তালিকা'!$B$4:$B$305, 0)))</f>
        <v/>
      </c>
      <c r="D560" s="8"/>
      <c r="E560" s="8"/>
      <c r="F560" s="13"/>
      <c r="G560" s="14"/>
      <c r="H560" s="9">
        <f>IF(ISBLANK(C560), "", SUMIFS(F$2:F560, C$2:C560, C560) - SUMIFS(G$2:G560, C$2:C560, C560))</f>
        <v>0</v>
      </c>
    </row>
    <row r="561" spans="1:8" ht="18" customHeight="1" x14ac:dyDescent="0.55000000000000004">
      <c r="A561" s="11"/>
      <c r="C561" s="12" t="str">
        <f>IF(ISBLANK(B561), "", INDEX('কাস্টমার তালিকা'!$A$4:$A$305, MATCH(B561, 'কাস্টমার তালিকা'!$B$4:$B$305, 0)))</f>
        <v/>
      </c>
      <c r="D561" s="8"/>
      <c r="E561" s="8"/>
      <c r="F561" s="13"/>
      <c r="G561" s="14"/>
      <c r="H561" s="9">
        <f>IF(ISBLANK(C561), "", SUMIFS(F$2:F561, C$2:C561, C561) - SUMIFS(G$2:G561, C$2:C561, C561))</f>
        <v>0</v>
      </c>
    </row>
    <row r="562" spans="1:8" ht="18" customHeight="1" x14ac:dyDescent="0.55000000000000004">
      <c r="A562" s="11"/>
      <c r="C562" s="12" t="str">
        <f>IF(ISBLANK(B562), "", INDEX('কাস্টমার তালিকা'!$A$4:$A$305, MATCH(B562, 'কাস্টমার তালিকা'!$B$4:$B$305, 0)))</f>
        <v/>
      </c>
      <c r="D562" s="8"/>
      <c r="E562" s="8"/>
      <c r="F562" s="13"/>
      <c r="G562" s="14"/>
      <c r="H562" s="9">
        <f>IF(ISBLANK(C562), "", SUMIFS(F$2:F562, C$2:C562, C562) - SUMIFS(G$2:G562, C$2:C562, C562))</f>
        <v>0</v>
      </c>
    </row>
    <row r="563" spans="1:8" ht="18" customHeight="1" x14ac:dyDescent="0.55000000000000004">
      <c r="A563" s="11"/>
      <c r="C563" s="12" t="str">
        <f>IF(ISBLANK(B563), "", INDEX('কাস্টমার তালিকা'!$A$4:$A$305, MATCH(B563, 'কাস্টমার তালিকা'!$B$4:$B$305, 0)))</f>
        <v/>
      </c>
      <c r="D563" s="8"/>
      <c r="E563" s="8"/>
      <c r="F563" s="13"/>
      <c r="G563" s="14"/>
      <c r="H563" s="9">
        <f>IF(ISBLANK(C563), "", SUMIFS(F$2:F563, C$2:C563, C563) - SUMIFS(G$2:G563, C$2:C563, C563))</f>
        <v>0</v>
      </c>
    </row>
    <row r="564" spans="1:8" ht="18" customHeight="1" x14ac:dyDescent="0.55000000000000004">
      <c r="A564" s="11"/>
      <c r="C564" s="12" t="str">
        <f>IF(ISBLANK(B564), "", INDEX('কাস্টমার তালিকা'!$A$4:$A$305, MATCH(B564, 'কাস্টমার তালিকা'!$B$4:$B$305, 0)))</f>
        <v/>
      </c>
      <c r="D564" s="8"/>
      <c r="E564" s="8"/>
      <c r="F564" s="13"/>
      <c r="G564" s="14"/>
      <c r="H564" s="9">
        <f>IF(ISBLANK(C564), "", SUMIFS(F$2:F564, C$2:C564, C564) - SUMIFS(G$2:G564, C$2:C564, C564))</f>
        <v>0</v>
      </c>
    </row>
    <row r="565" spans="1:8" ht="18" customHeight="1" x14ac:dyDescent="0.55000000000000004">
      <c r="A565" s="11"/>
      <c r="C565" s="12" t="str">
        <f>IF(ISBLANK(B565), "", INDEX('কাস্টমার তালিকা'!$A$4:$A$305, MATCH(B565, 'কাস্টমার তালিকা'!$B$4:$B$305, 0)))</f>
        <v/>
      </c>
      <c r="D565" s="8"/>
      <c r="E565" s="8"/>
      <c r="F565" s="13"/>
      <c r="G565" s="14"/>
      <c r="H565" s="9">
        <f>IF(ISBLANK(C565), "", SUMIFS(F$2:F565, C$2:C565, C565) - SUMIFS(G$2:G565, C$2:C565, C565))</f>
        <v>0</v>
      </c>
    </row>
    <row r="566" spans="1:8" ht="18" customHeight="1" x14ac:dyDescent="0.55000000000000004">
      <c r="A566" s="11"/>
      <c r="C566" s="12" t="str">
        <f>IF(ISBLANK(B566), "", INDEX('কাস্টমার তালিকা'!$A$4:$A$305, MATCH(B566, 'কাস্টমার তালিকা'!$B$4:$B$305, 0)))</f>
        <v/>
      </c>
      <c r="D566" s="8"/>
      <c r="E566" s="8"/>
      <c r="F566" s="13"/>
      <c r="G566" s="14"/>
      <c r="H566" s="9">
        <f>IF(ISBLANK(C566), "", SUMIFS(F$2:F566, C$2:C566, C566) - SUMIFS(G$2:G566, C$2:C566, C566))</f>
        <v>0</v>
      </c>
    </row>
    <row r="567" spans="1:8" ht="18" customHeight="1" x14ac:dyDescent="0.55000000000000004">
      <c r="A567" s="11"/>
      <c r="C567" s="12" t="str">
        <f>IF(ISBLANK(B567), "", INDEX('কাস্টমার তালিকা'!$A$4:$A$305, MATCH(B567, 'কাস্টমার তালিকা'!$B$4:$B$305, 0)))</f>
        <v/>
      </c>
      <c r="D567" s="8"/>
      <c r="E567" s="8"/>
      <c r="F567" s="13"/>
      <c r="G567" s="14"/>
      <c r="H567" s="9">
        <f>IF(ISBLANK(C567), "", SUMIFS(F$2:F567, C$2:C567, C567) - SUMIFS(G$2:G567, C$2:C567, C567))</f>
        <v>0</v>
      </c>
    </row>
    <row r="568" spans="1:8" ht="18" customHeight="1" x14ac:dyDescent="0.55000000000000004">
      <c r="A568" s="11"/>
      <c r="C568" s="12" t="str">
        <f>IF(ISBLANK(B568), "", INDEX('কাস্টমার তালিকা'!$A$4:$A$305, MATCH(B568, 'কাস্টমার তালিকা'!$B$4:$B$305, 0)))</f>
        <v/>
      </c>
      <c r="D568" s="8"/>
      <c r="E568" s="8"/>
      <c r="F568" s="13"/>
      <c r="G568" s="14"/>
      <c r="H568" s="9">
        <f>IF(ISBLANK(C568), "", SUMIFS(F$2:F568, C$2:C568, C568) - SUMIFS(G$2:G568, C$2:C568, C568))</f>
        <v>0</v>
      </c>
    </row>
    <row r="569" spans="1:8" ht="18" customHeight="1" x14ac:dyDescent="0.55000000000000004">
      <c r="A569" s="11"/>
      <c r="C569" s="12" t="str">
        <f>IF(ISBLANK(B569), "", INDEX('কাস্টমার তালিকা'!$A$4:$A$305, MATCH(B569, 'কাস্টমার তালিকা'!$B$4:$B$305, 0)))</f>
        <v/>
      </c>
      <c r="D569" s="8"/>
      <c r="E569" s="8"/>
      <c r="F569" s="13"/>
      <c r="G569" s="14"/>
      <c r="H569" s="9">
        <f>IF(ISBLANK(C569), "", SUMIFS(F$2:F569, C$2:C569, C569) - SUMIFS(G$2:G569, C$2:C569, C569))</f>
        <v>0</v>
      </c>
    </row>
    <row r="570" spans="1:8" ht="18" customHeight="1" x14ac:dyDescent="0.55000000000000004">
      <c r="A570" s="11"/>
      <c r="C570" s="12" t="str">
        <f>IF(ISBLANK(B570), "", INDEX('কাস্টমার তালিকা'!$A$4:$A$305, MATCH(B570, 'কাস্টমার তালিকা'!$B$4:$B$305, 0)))</f>
        <v/>
      </c>
      <c r="D570" s="8"/>
      <c r="E570" s="8"/>
      <c r="F570" s="13"/>
      <c r="G570" s="14"/>
      <c r="H570" s="9">
        <f>IF(ISBLANK(C570), "", SUMIFS(F$2:F570, C$2:C570, C570) - SUMIFS(G$2:G570, C$2:C570, C570))</f>
        <v>0</v>
      </c>
    </row>
    <row r="571" spans="1:8" ht="18" customHeight="1" x14ac:dyDescent="0.55000000000000004">
      <c r="A571" s="11"/>
      <c r="C571" s="12" t="str">
        <f>IF(ISBLANK(B571), "", INDEX('কাস্টমার তালিকা'!$A$4:$A$305, MATCH(B571, 'কাস্টমার তালিকা'!$B$4:$B$305, 0)))</f>
        <v/>
      </c>
      <c r="D571" s="8"/>
      <c r="E571" s="8"/>
      <c r="F571" s="13"/>
      <c r="G571" s="14"/>
      <c r="H571" s="9">
        <f>IF(ISBLANK(C571), "", SUMIFS(F$2:F571, C$2:C571, C571) - SUMIFS(G$2:G571, C$2:C571, C571))</f>
        <v>0</v>
      </c>
    </row>
    <row r="572" spans="1:8" ht="18" customHeight="1" x14ac:dyDescent="0.55000000000000004">
      <c r="A572" s="11"/>
      <c r="C572" s="12" t="str">
        <f>IF(ISBLANK(B572), "", INDEX('কাস্টমার তালিকা'!$A$4:$A$305, MATCH(B572, 'কাস্টমার তালিকা'!$B$4:$B$305, 0)))</f>
        <v/>
      </c>
      <c r="D572" s="8"/>
      <c r="E572" s="8"/>
      <c r="F572" s="13"/>
      <c r="G572" s="14"/>
      <c r="H572" s="9">
        <f>IF(ISBLANK(C572), "", SUMIFS(F$2:F572, C$2:C572, C572) - SUMIFS(G$2:G572, C$2:C572, C572))</f>
        <v>0</v>
      </c>
    </row>
    <row r="573" spans="1:8" ht="18" customHeight="1" x14ac:dyDescent="0.55000000000000004">
      <c r="A573" s="11"/>
      <c r="C573" s="12" t="str">
        <f>IF(ISBLANK(B573), "", INDEX('কাস্টমার তালিকা'!$A$4:$A$305, MATCH(B573, 'কাস্টমার তালিকা'!$B$4:$B$305, 0)))</f>
        <v/>
      </c>
      <c r="D573" s="8"/>
      <c r="E573" s="8"/>
      <c r="F573" s="13"/>
      <c r="G573" s="14"/>
      <c r="H573" s="9">
        <f>IF(ISBLANK(C573), "", SUMIFS(F$2:F573, C$2:C573, C573) - SUMIFS(G$2:G573, C$2:C573, C573))</f>
        <v>0</v>
      </c>
    </row>
    <row r="574" spans="1:8" ht="18" customHeight="1" x14ac:dyDescent="0.55000000000000004">
      <c r="A574" s="11"/>
      <c r="C574" s="12" t="str">
        <f>IF(ISBLANK(B574), "", INDEX('কাস্টমার তালিকা'!$A$4:$A$305, MATCH(B574, 'কাস্টমার তালিকা'!$B$4:$B$305, 0)))</f>
        <v/>
      </c>
      <c r="D574" s="8"/>
      <c r="E574" s="8"/>
      <c r="F574" s="13"/>
      <c r="G574" s="14"/>
      <c r="H574" s="9">
        <f>IF(ISBLANK(C574), "", SUMIFS(F$2:F574, C$2:C574, C574) - SUMIFS(G$2:G574, C$2:C574, C574))</f>
        <v>0</v>
      </c>
    </row>
    <row r="575" spans="1:8" ht="18" customHeight="1" x14ac:dyDescent="0.55000000000000004">
      <c r="A575" s="11"/>
      <c r="C575" s="12" t="str">
        <f>IF(ISBLANK(B575), "", INDEX('কাস্টমার তালিকা'!$A$4:$A$305, MATCH(B575, 'কাস্টমার তালিকা'!$B$4:$B$305, 0)))</f>
        <v/>
      </c>
      <c r="D575" s="8"/>
      <c r="E575" s="8"/>
      <c r="F575" s="13"/>
      <c r="G575" s="14"/>
      <c r="H575" s="9">
        <f>IF(ISBLANK(C575), "", SUMIFS(F$2:F575, C$2:C575, C575) - SUMIFS(G$2:G575, C$2:C575, C575))</f>
        <v>0</v>
      </c>
    </row>
    <row r="576" spans="1:8" ht="18" customHeight="1" x14ac:dyDescent="0.55000000000000004">
      <c r="A576" s="11"/>
      <c r="C576" s="12" t="str">
        <f>IF(ISBLANK(B576), "", INDEX('কাস্টমার তালিকা'!$A$4:$A$305, MATCH(B576, 'কাস্টমার তালিকা'!$B$4:$B$305, 0)))</f>
        <v/>
      </c>
      <c r="D576" s="8"/>
      <c r="E576" s="8"/>
      <c r="F576" s="13"/>
      <c r="G576" s="14"/>
      <c r="H576" s="9">
        <f>IF(ISBLANK(C576), "", SUMIFS(F$2:F576, C$2:C576, C576) - SUMIFS(G$2:G576, C$2:C576, C576))</f>
        <v>0</v>
      </c>
    </row>
    <row r="577" spans="1:8" ht="18" customHeight="1" x14ac:dyDescent="0.55000000000000004">
      <c r="A577" s="11"/>
      <c r="C577" s="12" t="str">
        <f>IF(ISBLANK(B577), "", INDEX('কাস্টমার তালিকা'!$A$4:$A$305, MATCH(B577, 'কাস্টমার তালিকা'!$B$4:$B$305, 0)))</f>
        <v/>
      </c>
      <c r="D577" s="8"/>
      <c r="E577" s="8"/>
      <c r="F577" s="13"/>
      <c r="G577" s="14"/>
      <c r="H577" s="9">
        <f>IF(ISBLANK(C577), "", SUMIFS(F$2:F577, C$2:C577, C577) - SUMIFS(G$2:G577, C$2:C577, C577))</f>
        <v>0</v>
      </c>
    </row>
    <row r="578" spans="1:8" ht="18" customHeight="1" x14ac:dyDescent="0.55000000000000004">
      <c r="A578" s="11"/>
      <c r="C578" s="12" t="str">
        <f>IF(ISBLANK(B578), "", INDEX('কাস্টমার তালিকা'!$A$4:$A$305, MATCH(B578, 'কাস্টমার তালিকা'!$B$4:$B$305, 0)))</f>
        <v/>
      </c>
      <c r="D578" s="8"/>
      <c r="E578" s="8"/>
      <c r="F578" s="13"/>
      <c r="G578" s="14"/>
      <c r="H578" s="9">
        <f>IF(ISBLANK(C578), "", SUMIFS(F$2:F578, C$2:C578, C578) - SUMIFS(G$2:G578, C$2:C578, C578))</f>
        <v>0</v>
      </c>
    </row>
    <row r="579" spans="1:8" ht="18" customHeight="1" x14ac:dyDescent="0.55000000000000004">
      <c r="A579" s="11"/>
      <c r="C579" s="12" t="str">
        <f>IF(ISBLANK(B579), "", INDEX('কাস্টমার তালিকা'!$A$4:$A$305, MATCH(B579, 'কাস্টমার তালিকা'!$B$4:$B$305, 0)))</f>
        <v/>
      </c>
      <c r="D579" s="8"/>
      <c r="E579" s="8"/>
      <c r="F579" s="13"/>
      <c r="G579" s="14"/>
      <c r="H579" s="9">
        <f>IF(ISBLANK(C579), "", SUMIFS(F$2:F579, C$2:C579, C579) - SUMIFS(G$2:G579, C$2:C579, C579))</f>
        <v>0</v>
      </c>
    </row>
    <row r="580" spans="1:8" ht="18" customHeight="1" x14ac:dyDescent="0.55000000000000004">
      <c r="A580" s="11"/>
      <c r="C580" s="12" t="str">
        <f>IF(ISBLANK(B580), "", INDEX('কাস্টমার তালিকা'!$A$4:$A$305, MATCH(B580, 'কাস্টমার তালিকা'!$B$4:$B$305, 0)))</f>
        <v/>
      </c>
      <c r="D580" s="8"/>
      <c r="E580" s="8"/>
      <c r="F580" s="13"/>
      <c r="G580" s="14"/>
      <c r="H580" s="9">
        <f>IF(ISBLANK(C580), "", SUMIFS(F$2:F580, C$2:C580, C580) - SUMIFS(G$2:G580, C$2:C580, C580))</f>
        <v>0</v>
      </c>
    </row>
    <row r="581" spans="1:8" ht="18" customHeight="1" x14ac:dyDescent="0.55000000000000004">
      <c r="A581" s="11"/>
      <c r="C581" s="12" t="str">
        <f>IF(ISBLANK(B581), "", INDEX('কাস্টমার তালিকা'!$A$4:$A$305, MATCH(B581, 'কাস্টমার তালিকা'!$B$4:$B$305, 0)))</f>
        <v/>
      </c>
      <c r="D581" s="8"/>
      <c r="E581" s="8"/>
      <c r="F581" s="13"/>
      <c r="G581" s="14"/>
      <c r="H581" s="9">
        <f>IF(ISBLANK(C581), "", SUMIFS(F$2:F581, C$2:C581, C581) - SUMIFS(G$2:G581, C$2:C581, C581))</f>
        <v>0</v>
      </c>
    </row>
    <row r="582" spans="1:8" ht="18" customHeight="1" x14ac:dyDescent="0.55000000000000004">
      <c r="A582" s="11"/>
      <c r="C582" s="12" t="str">
        <f>IF(ISBLANK(B582), "", INDEX('কাস্টমার তালিকা'!$A$4:$A$305, MATCH(B582, 'কাস্টমার তালিকা'!$B$4:$B$305, 0)))</f>
        <v/>
      </c>
      <c r="D582" s="8"/>
      <c r="E582" s="8"/>
      <c r="F582" s="13"/>
      <c r="G582" s="14"/>
      <c r="H582" s="9">
        <f>IF(ISBLANK(C582), "", SUMIFS(F$2:F582, C$2:C582, C582) - SUMIFS(G$2:G582, C$2:C582, C582))</f>
        <v>0</v>
      </c>
    </row>
    <row r="583" spans="1:8" ht="18" customHeight="1" x14ac:dyDescent="0.55000000000000004">
      <c r="A583" s="11"/>
      <c r="C583" s="12" t="str">
        <f>IF(ISBLANK(B583), "", INDEX('কাস্টমার তালিকা'!$A$4:$A$305, MATCH(B583, 'কাস্টমার তালিকা'!$B$4:$B$305, 0)))</f>
        <v/>
      </c>
      <c r="D583" s="8"/>
      <c r="E583" s="8"/>
      <c r="F583" s="13"/>
      <c r="G583" s="14"/>
      <c r="H583" s="9">
        <f>IF(ISBLANK(C583), "", SUMIFS(F$2:F583, C$2:C583, C583) - SUMIFS(G$2:G583, C$2:C583, C583))</f>
        <v>0</v>
      </c>
    </row>
    <row r="584" spans="1:8" ht="18" customHeight="1" x14ac:dyDescent="0.55000000000000004">
      <c r="A584" s="11"/>
      <c r="C584" s="12" t="str">
        <f>IF(ISBLANK(B584), "", INDEX('কাস্টমার তালিকা'!$A$4:$A$305, MATCH(B584, 'কাস্টমার তালিকা'!$B$4:$B$305, 0)))</f>
        <v/>
      </c>
      <c r="D584" s="8"/>
      <c r="E584" s="8"/>
      <c r="F584" s="13"/>
      <c r="G584" s="14"/>
      <c r="H584" s="9">
        <f>IF(ISBLANK(C584), "", SUMIFS(F$2:F584, C$2:C584, C584) - SUMIFS(G$2:G584, C$2:C584, C584))</f>
        <v>0</v>
      </c>
    </row>
    <row r="585" spans="1:8" ht="18" customHeight="1" x14ac:dyDescent="0.55000000000000004">
      <c r="A585" s="11"/>
      <c r="C585" s="12" t="str">
        <f>IF(ISBLANK(B585), "", INDEX('কাস্টমার তালিকা'!$A$4:$A$305, MATCH(B585, 'কাস্টমার তালিকা'!$B$4:$B$305, 0)))</f>
        <v/>
      </c>
      <c r="D585" s="8"/>
      <c r="E585" s="8"/>
      <c r="F585" s="13"/>
      <c r="G585" s="14"/>
      <c r="H585" s="9">
        <f>IF(ISBLANK(C585), "", SUMIFS(F$2:F585, C$2:C585, C585) - SUMIFS(G$2:G585, C$2:C585, C585))</f>
        <v>0</v>
      </c>
    </row>
    <row r="586" spans="1:8" ht="18" customHeight="1" x14ac:dyDescent="0.55000000000000004">
      <c r="A586" s="11"/>
      <c r="C586" s="12" t="str">
        <f>IF(ISBLANK(B586), "", INDEX('কাস্টমার তালিকা'!$A$4:$A$305, MATCH(B586, 'কাস্টমার তালিকা'!$B$4:$B$305, 0)))</f>
        <v/>
      </c>
      <c r="D586" s="8"/>
      <c r="E586" s="8"/>
      <c r="F586" s="13"/>
      <c r="G586" s="14"/>
      <c r="H586" s="9">
        <f>IF(ISBLANK(C586), "", SUMIFS(F$2:F586, C$2:C586, C586) - SUMIFS(G$2:G586, C$2:C586, C586))</f>
        <v>0</v>
      </c>
    </row>
    <row r="587" spans="1:8" ht="18" customHeight="1" x14ac:dyDescent="0.55000000000000004">
      <c r="A587" s="11"/>
      <c r="C587" s="12" t="str">
        <f>IF(ISBLANK(B587), "", INDEX('কাস্টমার তালিকা'!$A$4:$A$305, MATCH(B587, 'কাস্টমার তালিকা'!$B$4:$B$305, 0)))</f>
        <v/>
      </c>
      <c r="D587" s="8"/>
      <c r="E587" s="8"/>
      <c r="F587" s="13"/>
      <c r="G587" s="14"/>
      <c r="H587" s="9">
        <f>IF(ISBLANK(C587), "", SUMIFS(F$2:F587, C$2:C587, C587) - SUMIFS(G$2:G587, C$2:C587, C587))</f>
        <v>0</v>
      </c>
    </row>
    <row r="588" spans="1:8" ht="18" customHeight="1" x14ac:dyDescent="0.55000000000000004">
      <c r="A588" s="11"/>
      <c r="C588" s="12" t="str">
        <f>IF(ISBLANK(B588), "", INDEX('কাস্টমার তালিকা'!$A$4:$A$305, MATCH(B588, 'কাস্টমার তালিকা'!$B$4:$B$305, 0)))</f>
        <v/>
      </c>
      <c r="D588" s="8"/>
      <c r="E588" s="8"/>
      <c r="F588" s="13"/>
      <c r="G588" s="14"/>
      <c r="H588" s="9">
        <f>IF(ISBLANK(C588), "", SUMIFS(F$2:F588, C$2:C588, C588) - SUMIFS(G$2:G588, C$2:C588, C588))</f>
        <v>0</v>
      </c>
    </row>
    <row r="589" spans="1:8" ht="18" customHeight="1" x14ac:dyDescent="0.55000000000000004">
      <c r="A589" s="11"/>
      <c r="C589" s="12" t="str">
        <f>IF(ISBLANK(B589), "", INDEX('কাস্টমার তালিকা'!$A$4:$A$305, MATCH(B589, 'কাস্টমার তালিকা'!$B$4:$B$305, 0)))</f>
        <v/>
      </c>
      <c r="D589" s="8"/>
      <c r="E589" s="8"/>
      <c r="F589" s="13"/>
      <c r="G589" s="14"/>
      <c r="H589" s="9">
        <f>IF(ISBLANK(C589), "", SUMIFS(F$2:F589, C$2:C589, C589) - SUMIFS(G$2:G589, C$2:C589, C589))</f>
        <v>0</v>
      </c>
    </row>
    <row r="590" spans="1:8" ht="18" customHeight="1" x14ac:dyDescent="0.55000000000000004">
      <c r="A590" s="11"/>
      <c r="C590" s="12" t="str">
        <f>IF(ISBLANK(B590), "", INDEX('কাস্টমার তালিকা'!$A$4:$A$305, MATCH(B590, 'কাস্টমার তালিকা'!$B$4:$B$305, 0)))</f>
        <v/>
      </c>
      <c r="D590" s="8"/>
      <c r="E590" s="8"/>
      <c r="F590" s="13"/>
      <c r="G590" s="14"/>
      <c r="H590" s="9">
        <f>IF(ISBLANK(C590), "", SUMIFS(F$2:F590, C$2:C590, C590) - SUMIFS(G$2:G590, C$2:C590, C590))</f>
        <v>0</v>
      </c>
    </row>
    <row r="591" spans="1:8" ht="18" customHeight="1" x14ac:dyDescent="0.55000000000000004">
      <c r="A591" s="11"/>
      <c r="C591" s="12" t="str">
        <f>IF(ISBLANK(B591), "", INDEX('কাস্টমার তালিকা'!$A$4:$A$305, MATCH(B591, 'কাস্টমার তালিকা'!$B$4:$B$305, 0)))</f>
        <v/>
      </c>
      <c r="D591" s="8"/>
      <c r="E591" s="8"/>
      <c r="F591" s="13"/>
      <c r="G591" s="14"/>
      <c r="H591" s="9">
        <f>IF(ISBLANK(C591), "", SUMIFS(F$2:F591, C$2:C591, C591) - SUMIFS(G$2:G591, C$2:C591, C591))</f>
        <v>0</v>
      </c>
    </row>
    <row r="592" spans="1:8" ht="18" customHeight="1" x14ac:dyDescent="0.55000000000000004">
      <c r="A592" s="11"/>
      <c r="C592" s="12" t="str">
        <f>IF(ISBLANK(B592), "", INDEX('কাস্টমার তালিকা'!$A$4:$A$305, MATCH(B592, 'কাস্টমার তালিকা'!$B$4:$B$305, 0)))</f>
        <v/>
      </c>
      <c r="D592" s="8"/>
      <c r="E592" s="8"/>
      <c r="F592" s="13"/>
      <c r="G592" s="14"/>
      <c r="H592" s="9">
        <f>IF(ISBLANK(C592), "", SUMIFS(F$2:F592, C$2:C592, C592) - SUMIFS(G$2:G592, C$2:C592, C592))</f>
        <v>0</v>
      </c>
    </row>
    <row r="593" spans="1:8" ht="18" customHeight="1" x14ac:dyDescent="0.55000000000000004">
      <c r="A593" s="11"/>
      <c r="C593" s="12" t="str">
        <f>IF(ISBLANK(B593), "", INDEX('কাস্টমার তালিকা'!$A$4:$A$305, MATCH(B593, 'কাস্টমার তালিকা'!$B$4:$B$305, 0)))</f>
        <v/>
      </c>
      <c r="D593" s="8"/>
      <c r="E593" s="8"/>
      <c r="F593" s="13"/>
      <c r="G593" s="14"/>
      <c r="H593" s="9">
        <f>IF(ISBLANK(C593), "", SUMIFS(F$2:F593, C$2:C593, C593) - SUMIFS(G$2:G593, C$2:C593, C593))</f>
        <v>0</v>
      </c>
    </row>
    <row r="594" spans="1:8" ht="18" customHeight="1" x14ac:dyDescent="0.55000000000000004">
      <c r="A594" s="11"/>
      <c r="C594" s="12" t="str">
        <f>IF(ISBLANK(B594), "", INDEX('কাস্টমার তালিকা'!$A$4:$A$305, MATCH(B594, 'কাস্টমার তালিকা'!$B$4:$B$305, 0)))</f>
        <v/>
      </c>
      <c r="D594" s="8"/>
      <c r="E594" s="8"/>
      <c r="F594" s="13"/>
      <c r="G594" s="14"/>
      <c r="H594" s="9">
        <f>IF(ISBLANK(C594), "", SUMIFS(F$2:F594, C$2:C594, C594) - SUMIFS(G$2:G594, C$2:C594, C594))</f>
        <v>0</v>
      </c>
    </row>
    <row r="595" spans="1:8" ht="18" customHeight="1" x14ac:dyDescent="0.55000000000000004">
      <c r="A595" s="11"/>
      <c r="C595" s="12" t="str">
        <f>IF(ISBLANK(B595), "", INDEX('কাস্টমার তালিকা'!$A$4:$A$305, MATCH(B595, 'কাস্টমার তালিকা'!$B$4:$B$305, 0)))</f>
        <v/>
      </c>
      <c r="D595" s="8"/>
      <c r="E595" s="8"/>
      <c r="F595" s="13"/>
      <c r="G595" s="14"/>
      <c r="H595" s="9">
        <f>IF(ISBLANK(C595), "", SUMIFS(F$2:F595, C$2:C595, C595) - SUMIFS(G$2:G595, C$2:C595, C595))</f>
        <v>0</v>
      </c>
    </row>
    <row r="596" spans="1:8" ht="18" customHeight="1" x14ac:dyDescent="0.55000000000000004">
      <c r="A596" s="11"/>
      <c r="C596" s="12" t="str">
        <f>IF(ISBLANK(B596), "", INDEX('কাস্টমার তালিকা'!$A$4:$A$305, MATCH(B596, 'কাস্টমার তালিকা'!$B$4:$B$305, 0)))</f>
        <v/>
      </c>
      <c r="D596" s="8"/>
      <c r="E596" s="8"/>
      <c r="F596" s="13"/>
      <c r="G596" s="14"/>
      <c r="H596" s="9">
        <f>IF(ISBLANK(C596), "", SUMIFS(F$2:F596, C$2:C596, C596) - SUMIFS(G$2:G596, C$2:C596, C596))</f>
        <v>0</v>
      </c>
    </row>
    <row r="597" spans="1:8" ht="18" customHeight="1" x14ac:dyDescent="0.55000000000000004">
      <c r="A597" s="11"/>
      <c r="C597" s="12" t="str">
        <f>IF(ISBLANK(B597), "", INDEX('কাস্টমার তালিকা'!$A$4:$A$305, MATCH(B597, 'কাস্টমার তালিকা'!$B$4:$B$305, 0)))</f>
        <v/>
      </c>
      <c r="D597" s="8"/>
      <c r="E597" s="8"/>
      <c r="F597" s="13"/>
      <c r="G597" s="14"/>
      <c r="H597" s="9">
        <f>IF(ISBLANK(C597), "", SUMIFS(F$2:F597, C$2:C597, C597) - SUMIFS(G$2:G597, C$2:C597, C597))</f>
        <v>0</v>
      </c>
    </row>
    <row r="598" spans="1:8" ht="18" customHeight="1" x14ac:dyDescent="0.55000000000000004">
      <c r="A598" s="11"/>
      <c r="C598" s="12" t="str">
        <f>IF(ISBLANK(B598), "", INDEX('কাস্টমার তালিকা'!$A$4:$A$305, MATCH(B598, 'কাস্টমার তালিকা'!$B$4:$B$305, 0)))</f>
        <v/>
      </c>
      <c r="D598" s="8"/>
      <c r="E598" s="8"/>
      <c r="F598" s="13"/>
      <c r="G598" s="14"/>
      <c r="H598" s="9">
        <f>IF(ISBLANK(C598), "", SUMIFS(F$2:F598, C$2:C598, C598) - SUMIFS(G$2:G598, C$2:C598, C598))</f>
        <v>0</v>
      </c>
    </row>
    <row r="599" spans="1:8" ht="18" customHeight="1" x14ac:dyDescent="0.55000000000000004">
      <c r="A599" s="11"/>
      <c r="C599" s="12" t="str">
        <f>IF(ISBLANK(B599), "", INDEX('কাস্টমার তালিকা'!$A$4:$A$305, MATCH(B599, 'কাস্টমার তালিকা'!$B$4:$B$305, 0)))</f>
        <v/>
      </c>
      <c r="D599" s="8"/>
      <c r="E599" s="8"/>
      <c r="F599" s="13"/>
      <c r="G599" s="14"/>
      <c r="H599" s="9">
        <f>IF(ISBLANK(C599), "", SUMIFS(F$2:F599, C$2:C599, C599) - SUMIFS(G$2:G599, C$2:C599, C599))</f>
        <v>0</v>
      </c>
    </row>
    <row r="600" spans="1:8" ht="18" customHeight="1" x14ac:dyDescent="0.55000000000000004">
      <c r="A600" s="11"/>
      <c r="C600" s="12" t="str">
        <f>IF(ISBLANK(B600), "", INDEX('কাস্টমার তালিকা'!$A$4:$A$305, MATCH(B600, 'কাস্টমার তালিকা'!$B$4:$B$305, 0)))</f>
        <v/>
      </c>
      <c r="D600" s="8"/>
      <c r="E600" s="8"/>
      <c r="F600" s="13"/>
      <c r="G600" s="14"/>
      <c r="H600" s="9">
        <f>IF(ISBLANK(C600), "", SUMIFS(F$2:F600, C$2:C600, C600) - SUMIFS(G$2:G600, C$2:C600, C600))</f>
        <v>0</v>
      </c>
    </row>
    <row r="601" spans="1:8" ht="18" customHeight="1" x14ac:dyDescent="0.55000000000000004">
      <c r="A601" s="11"/>
      <c r="C601" s="12" t="str">
        <f>IF(ISBLANK(B601), "", INDEX('কাস্টমার তালিকা'!$A$4:$A$305, MATCH(B601, 'কাস্টমার তালিকা'!$B$4:$B$305, 0)))</f>
        <v/>
      </c>
      <c r="D601" s="8"/>
      <c r="E601" s="8"/>
      <c r="F601" s="13"/>
      <c r="G601" s="14"/>
      <c r="H601" s="9">
        <f>IF(ISBLANK(C601), "", SUMIFS(F$2:F601, C$2:C601, C601) - SUMIFS(G$2:G601, C$2:C601, C601))</f>
        <v>0</v>
      </c>
    </row>
    <row r="602" spans="1:8" ht="18" customHeight="1" x14ac:dyDescent="0.55000000000000004">
      <c r="A602" s="11"/>
      <c r="C602" s="12" t="str">
        <f>IF(ISBLANK(B602), "", INDEX('কাস্টমার তালিকা'!$A$4:$A$305, MATCH(B602, 'কাস্টমার তালিকা'!$B$4:$B$305, 0)))</f>
        <v/>
      </c>
      <c r="D602" s="8"/>
      <c r="E602" s="8"/>
      <c r="F602" s="13"/>
      <c r="G602" s="14"/>
      <c r="H602" s="9">
        <f>IF(ISBLANK(C602), "", SUMIFS(F$2:F602, C$2:C602, C602) - SUMIFS(G$2:G602, C$2:C602, C602))</f>
        <v>0</v>
      </c>
    </row>
    <row r="603" spans="1:8" ht="18" customHeight="1" x14ac:dyDescent="0.55000000000000004">
      <c r="A603" s="11"/>
      <c r="C603" s="12" t="str">
        <f>IF(ISBLANK(B603), "", INDEX('কাস্টমার তালিকা'!$A$4:$A$305, MATCH(B603, 'কাস্টমার তালিকা'!$B$4:$B$305, 0)))</f>
        <v/>
      </c>
      <c r="D603" s="8"/>
      <c r="E603" s="8"/>
      <c r="F603" s="13"/>
      <c r="G603" s="14"/>
      <c r="H603" s="9">
        <f>IF(ISBLANK(C603), "", SUMIFS(F$2:F603, C$2:C603, C603) - SUMIFS(G$2:G603, C$2:C603, C603))</f>
        <v>0</v>
      </c>
    </row>
    <row r="604" spans="1:8" ht="18" customHeight="1" x14ac:dyDescent="0.55000000000000004">
      <c r="A604" s="11"/>
      <c r="C604" s="12" t="str">
        <f>IF(ISBLANK(B604), "", INDEX('কাস্টমার তালিকা'!$A$4:$A$305, MATCH(B604, 'কাস্টমার তালিকা'!$B$4:$B$305, 0)))</f>
        <v/>
      </c>
      <c r="D604" s="8"/>
      <c r="E604" s="8"/>
      <c r="F604" s="13"/>
      <c r="G604" s="14"/>
      <c r="H604" s="9">
        <f>IF(ISBLANK(C604), "", SUMIFS(F$2:F604, C$2:C604, C604) - SUMIFS(G$2:G604, C$2:C604, C604))</f>
        <v>0</v>
      </c>
    </row>
    <row r="605" spans="1:8" ht="18" customHeight="1" x14ac:dyDescent="0.55000000000000004">
      <c r="A605" s="11"/>
      <c r="C605" s="12" t="str">
        <f>IF(ISBLANK(B605), "", INDEX('কাস্টমার তালিকা'!$A$4:$A$305, MATCH(B605, 'কাস্টমার তালিকা'!$B$4:$B$305, 0)))</f>
        <v/>
      </c>
      <c r="D605" s="8"/>
      <c r="E605" s="8"/>
      <c r="F605" s="13"/>
      <c r="G605" s="14"/>
      <c r="H605" s="9">
        <f>IF(ISBLANK(C605), "", SUMIFS(F$2:F605, C$2:C605, C605) - SUMIFS(G$2:G605, C$2:C605, C605))</f>
        <v>0</v>
      </c>
    </row>
    <row r="606" spans="1:8" ht="18" customHeight="1" x14ac:dyDescent="0.55000000000000004">
      <c r="A606" s="11"/>
      <c r="C606" s="12" t="str">
        <f>IF(ISBLANK(B606), "", INDEX('কাস্টমার তালিকা'!$A$4:$A$305, MATCH(B606, 'কাস্টমার তালিকা'!$B$4:$B$305, 0)))</f>
        <v/>
      </c>
      <c r="D606" s="8"/>
      <c r="E606" s="8"/>
      <c r="F606" s="13"/>
      <c r="G606" s="14"/>
      <c r="H606" s="9">
        <f>IF(ISBLANK(C606), "", SUMIFS(F$2:F606, C$2:C606, C606) - SUMIFS(G$2:G606, C$2:C606, C606))</f>
        <v>0</v>
      </c>
    </row>
    <row r="607" spans="1:8" ht="18" customHeight="1" x14ac:dyDescent="0.55000000000000004">
      <c r="A607" s="11"/>
      <c r="C607" s="12" t="str">
        <f>IF(ISBLANK(B607), "", INDEX('কাস্টমার তালিকা'!$A$4:$A$305, MATCH(B607, 'কাস্টমার তালিকা'!$B$4:$B$305, 0)))</f>
        <v/>
      </c>
      <c r="D607" s="8"/>
      <c r="E607" s="8"/>
      <c r="F607" s="13"/>
      <c r="G607" s="14"/>
      <c r="H607" s="9">
        <f>IF(ISBLANK(C607), "", SUMIFS(F$2:F607, C$2:C607, C607) - SUMIFS(G$2:G607, C$2:C607, C607))</f>
        <v>0</v>
      </c>
    </row>
    <row r="608" spans="1:8" ht="18" customHeight="1" x14ac:dyDescent="0.55000000000000004">
      <c r="A608" s="11"/>
      <c r="C608" s="12" t="str">
        <f>IF(ISBLANK(B608), "", INDEX('কাস্টমার তালিকা'!$A$4:$A$305, MATCH(B608, 'কাস্টমার তালিকা'!$B$4:$B$305, 0)))</f>
        <v/>
      </c>
      <c r="D608" s="8"/>
      <c r="E608" s="8"/>
      <c r="F608" s="13"/>
      <c r="G608" s="14"/>
      <c r="H608" s="9">
        <f>IF(ISBLANK(C608), "", SUMIFS(F$2:F608, C$2:C608, C608) - SUMIFS(G$2:G608, C$2:C608, C608))</f>
        <v>0</v>
      </c>
    </row>
    <row r="609" spans="1:8" ht="18" customHeight="1" x14ac:dyDescent="0.55000000000000004">
      <c r="A609" s="11"/>
      <c r="C609" s="12" t="str">
        <f>IF(ISBLANK(B609), "", INDEX('কাস্টমার তালিকা'!$A$4:$A$305, MATCH(B609, 'কাস্টমার তালিকা'!$B$4:$B$305, 0)))</f>
        <v/>
      </c>
      <c r="D609" s="8"/>
      <c r="E609" s="8"/>
      <c r="F609" s="13"/>
      <c r="G609" s="14"/>
      <c r="H609" s="9">
        <f>IF(ISBLANK(C609), "", SUMIFS(F$2:F609, C$2:C609, C609) - SUMIFS(G$2:G609, C$2:C609, C609))</f>
        <v>0</v>
      </c>
    </row>
    <row r="610" spans="1:8" ht="18" customHeight="1" x14ac:dyDescent="0.55000000000000004">
      <c r="A610" s="11"/>
      <c r="C610" s="12" t="str">
        <f>IF(ISBLANK(B610), "", INDEX('কাস্টমার তালিকা'!$A$4:$A$305, MATCH(B610, 'কাস্টমার তালিকা'!$B$4:$B$305, 0)))</f>
        <v/>
      </c>
      <c r="D610" s="8"/>
      <c r="E610" s="8"/>
      <c r="F610" s="13"/>
      <c r="G610" s="14"/>
      <c r="H610" s="9">
        <f>IF(ISBLANK(C610), "", SUMIFS(F$2:F610, C$2:C610, C610) - SUMIFS(G$2:G610, C$2:C610, C610))</f>
        <v>0</v>
      </c>
    </row>
    <row r="611" spans="1:8" ht="18" customHeight="1" x14ac:dyDescent="0.55000000000000004">
      <c r="A611" s="11"/>
      <c r="C611" s="12" t="str">
        <f>IF(ISBLANK(B611), "", INDEX('কাস্টমার তালিকা'!$A$4:$A$305, MATCH(B611, 'কাস্টমার তালিকা'!$B$4:$B$305, 0)))</f>
        <v/>
      </c>
      <c r="D611" s="8"/>
      <c r="E611" s="8"/>
      <c r="F611" s="13"/>
      <c r="G611" s="14"/>
      <c r="H611" s="9">
        <f>IF(ISBLANK(C611), "", SUMIFS(F$2:F611, C$2:C611, C611) - SUMIFS(G$2:G611, C$2:C611, C611))</f>
        <v>0</v>
      </c>
    </row>
    <row r="612" spans="1:8" ht="18" customHeight="1" x14ac:dyDescent="0.55000000000000004">
      <c r="A612" s="11"/>
      <c r="C612" s="12" t="str">
        <f>IF(ISBLANK(B612), "", INDEX('কাস্টমার তালিকা'!$A$4:$A$305, MATCH(B612, 'কাস্টমার তালিকা'!$B$4:$B$305, 0)))</f>
        <v/>
      </c>
      <c r="D612" s="8"/>
      <c r="E612" s="8"/>
      <c r="F612" s="13"/>
      <c r="G612" s="14"/>
      <c r="H612" s="9">
        <f>IF(ISBLANK(C612), "", SUMIFS(F$2:F612, C$2:C612, C612) - SUMIFS(G$2:G612, C$2:C612, C612))</f>
        <v>0</v>
      </c>
    </row>
    <row r="613" spans="1:8" ht="18" customHeight="1" x14ac:dyDescent="0.55000000000000004">
      <c r="A613" s="11"/>
      <c r="C613" s="12" t="str">
        <f>IF(ISBLANK(B613), "", INDEX('কাস্টমার তালিকা'!$A$4:$A$305, MATCH(B613, 'কাস্টমার তালিকা'!$B$4:$B$305, 0)))</f>
        <v/>
      </c>
      <c r="D613" s="8"/>
      <c r="E613" s="8"/>
      <c r="F613" s="13"/>
      <c r="G613" s="14"/>
      <c r="H613" s="9">
        <f>IF(ISBLANK(C613), "", SUMIFS(F$2:F613, C$2:C613, C613) - SUMIFS(G$2:G613, C$2:C613, C613))</f>
        <v>0</v>
      </c>
    </row>
    <row r="614" spans="1:8" ht="18" customHeight="1" x14ac:dyDescent="0.55000000000000004">
      <c r="A614" s="11"/>
      <c r="C614" s="12" t="str">
        <f>IF(ISBLANK(B614), "", INDEX('কাস্টমার তালিকা'!$A$4:$A$305, MATCH(B614, 'কাস্টমার তালিকা'!$B$4:$B$305, 0)))</f>
        <v/>
      </c>
      <c r="D614" s="8"/>
      <c r="E614" s="8"/>
      <c r="F614" s="13"/>
      <c r="G614" s="14"/>
      <c r="H614" s="9">
        <f>IF(ISBLANK(C614), "", SUMIFS(F$2:F614, C$2:C614, C614) - SUMIFS(G$2:G614, C$2:C614, C614))</f>
        <v>0</v>
      </c>
    </row>
    <row r="615" spans="1:8" ht="18" customHeight="1" x14ac:dyDescent="0.55000000000000004">
      <c r="A615" s="11"/>
      <c r="C615" s="12" t="str">
        <f>IF(ISBLANK(B615), "", INDEX('কাস্টমার তালিকা'!$A$4:$A$305, MATCH(B615, 'কাস্টমার তালিকা'!$B$4:$B$305, 0)))</f>
        <v/>
      </c>
      <c r="D615" s="8"/>
      <c r="E615" s="8"/>
      <c r="F615" s="13"/>
      <c r="G615" s="14"/>
      <c r="H615" s="9">
        <f>IF(ISBLANK(C615), "", SUMIFS(F$2:F615, C$2:C615, C615) - SUMIFS(G$2:G615, C$2:C615, C615))</f>
        <v>0</v>
      </c>
    </row>
    <row r="616" spans="1:8" ht="18" customHeight="1" x14ac:dyDescent="0.55000000000000004">
      <c r="A616" s="11"/>
      <c r="C616" s="12" t="str">
        <f>IF(ISBLANK(B616), "", INDEX('কাস্টমার তালিকা'!$A$4:$A$305, MATCH(B616, 'কাস্টমার তালিকা'!$B$4:$B$305, 0)))</f>
        <v/>
      </c>
      <c r="D616" s="8"/>
      <c r="E616" s="8"/>
      <c r="F616" s="13"/>
      <c r="G616" s="14"/>
      <c r="H616" s="9">
        <f>IF(ISBLANK(C616), "", SUMIFS(F$2:F616, C$2:C616, C616) - SUMIFS(G$2:G616, C$2:C616, C616))</f>
        <v>0</v>
      </c>
    </row>
    <row r="617" spans="1:8" ht="18" customHeight="1" x14ac:dyDescent="0.55000000000000004">
      <c r="A617" s="11"/>
      <c r="C617" s="12" t="str">
        <f>IF(ISBLANK(B617), "", INDEX('কাস্টমার তালিকা'!$A$4:$A$305, MATCH(B617, 'কাস্টমার তালিকা'!$B$4:$B$305, 0)))</f>
        <v/>
      </c>
      <c r="D617" s="8"/>
      <c r="E617" s="8"/>
      <c r="F617" s="13"/>
      <c r="G617" s="14"/>
      <c r="H617" s="9">
        <f>IF(ISBLANK(C617), "", SUMIFS(F$2:F617, C$2:C617, C617) - SUMIFS(G$2:G617, C$2:C617, C617))</f>
        <v>0</v>
      </c>
    </row>
    <row r="618" spans="1:8" ht="18" customHeight="1" x14ac:dyDescent="0.55000000000000004">
      <c r="A618" s="11"/>
      <c r="C618" s="12" t="str">
        <f>IF(ISBLANK(B618), "", INDEX('কাস্টমার তালিকা'!$A$4:$A$305, MATCH(B618, 'কাস্টমার তালিকা'!$B$4:$B$305, 0)))</f>
        <v/>
      </c>
      <c r="D618" s="8"/>
      <c r="E618" s="8"/>
      <c r="F618" s="13"/>
      <c r="G618" s="14"/>
      <c r="H618" s="9">
        <f>IF(ISBLANK(C618), "", SUMIFS(F$2:F618, C$2:C618, C618) - SUMIFS(G$2:G618, C$2:C618, C618))</f>
        <v>0</v>
      </c>
    </row>
    <row r="619" spans="1:8" ht="18" customHeight="1" x14ac:dyDescent="0.55000000000000004">
      <c r="A619" s="11"/>
      <c r="C619" s="12" t="str">
        <f>IF(ISBLANK(B619), "", INDEX('কাস্টমার তালিকা'!$A$4:$A$305, MATCH(B619, 'কাস্টমার তালিকা'!$B$4:$B$305, 0)))</f>
        <v/>
      </c>
      <c r="D619" s="8"/>
      <c r="E619" s="8"/>
      <c r="F619" s="13"/>
      <c r="G619" s="14"/>
      <c r="H619" s="9">
        <f>IF(ISBLANK(C619), "", SUMIFS(F$2:F619, C$2:C619, C619) - SUMIFS(G$2:G619, C$2:C619, C619))</f>
        <v>0</v>
      </c>
    </row>
    <row r="620" spans="1:8" ht="18" customHeight="1" x14ac:dyDescent="0.55000000000000004">
      <c r="A620" s="11"/>
      <c r="C620" s="12" t="str">
        <f>IF(ISBLANK(B620), "", INDEX('কাস্টমার তালিকা'!$A$4:$A$305, MATCH(B620, 'কাস্টমার তালিকা'!$B$4:$B$305, 0)))</f>
        <v/>
      </c>
      <c r="D620" s="8"/>
      <c r="E620" s="8"/>
      <c r="F620" s="13"/>
      <c r="G620" s="14"/>
      <c r="H620" s="9">
        <f>IF(ISBLANK(C620), "", SUMIFS(F$2:F620, C$2:C620, C620) - SUMIFS(G$2:G620, C$2:C620, C620))</f>
        <v>0</v>
      </c>
    </row>
    <row r="621" spans="1:8" ht="18" customHeight="1" x14ac:dyDescent="0.55000000000000004">
      <c r="A621" s="11"/>
      <c r="C621" s="12" t="str">
        <f>IF(ISBLANK(B621), "", INDEX('কাস্টমার তালিকা'!$A$4:$A$305, MATCH(B621, 'কাস্টমার তালিকা'!$B$4:$B$305, 0)))</f>
        <v/>
      </c>
      <c r="D621" s="8"/>
      <c r="E621" s="8"/>
      <c r="F621" s="13"/>
      <c r="G621" s="14"/>
      <c r="H621" s="9">
        <f>IF(ISBLANK(C621), "", SUMIFS(F$2:F621, C$2:C621, C621) - SUMIFS(G$2:G621, C$2:C621, C621))</f>
        <v>0</v>
      </c>
    </row>
    <row r="622" spans="1:8" ht="18" customHeight="1" x14ac:dyDescent="0.55000000000000004">
      <c r="A622" s="11"/>
      <c r="C622" s="12" t="str">
        <f>IF(ISBLANK(B622), "", INDEX('কাস্টমার তালিকা'!$A$4:$A$305, MATCH(B622, 'কাস্টমার তালিকা'!$B$4:$B$305, 0)))</f>
        <v/>
      </c>
      <c r="D622" s="8"/>
      <c r="E622" s="8"/>
      <c r="F622" s="13"/>
      <c r="G622" s="14"/>
      <c r="H622" s="9">
        <f>IF(ISBLANK(C622), "", SUMIFS(F$2:F622, C$2:C622, C622) - SUMIFS(G$2:G622, C$2:C622, C622))</f>
        <v>0</v>
      </c>
    </row>
    <row r="623" spans="1:8" ht="18" customHeight="1" x14ac:dyDescent="0.55000000000000004">
      <c r="A623" s="11"/>
      <c r="C623" s="12" t="str">
        <f>IF(ISBLANK(B623), "", INDEX('কাস্টমার তালিকা'!$A$4:$A$305, MATCH(B623, 'কাস্টমার তালিকা'!$B$4:$B$305, 0)))</f>
        <v/>
      </c>
      <c r="D623" s="8"/>
      <c r="E623" s="8"/>
      <c r="F623" s="13"/>
      <c r="G623" s="14"/>
      <c r="H623" s="9">
        <f>IF(ISBLANK(C623), "", SUMIFS(F$2:F623, C$2:C623, C623) - SUMIFS(G$2:G623, C$2:C623, C623))</f>
        <v>0</v>
      </c>
    </row>
    <row r="624" spans="1:8" ht="18" customHeight="1" x14ac:dyDescent="0.55000000000000004">
      <c r="A624" s="11"/>
      <c r="C624" s="12" t="str">
        <f>IF(ISBLANK(B624), "", INDEX('কাস্টমার তালিকা'!$A$4:$A$305, MATCH(B624, 'কাস্টমার তালিকা'!$B$4:$B$305, 0)))</f>
        <v/>
      </c>
      <c r="D624" s="8"/>
      <c r="E624" s="8"/>
      <c r="F624" s="13"/>
      <c r="G624" s="14"/>
      <c r="H624" s="9">
        <f>IF(ISBLANK(C624), "", SUMIFS(F$2:F624, C$2:C624, C624) - SUMIFS(G$2:G624, C$2:C624, C624))</f>
        <v>0</v>
      </c>
    </row>
    <row r="625" spans="1:8" ht="18" customHeight="1" x14ac:dyDescent="0.55000000000000004">
      <c r="A625" s="11"/>
      <c r="C625" s="12" t="str">
        <f>IF(ISBLANK(B625), "", INDEX('কাস্টমার তালিকা'!$A$4:$A$305, MATCH(B625, 'কাস্টমার তালিকা'!$B$4:$B$305, 0)))</f>
        <v/>
      </c>
      <c r="D625" s="8"/>
      <c r="E625" s="8"/>
      <c r="F625" s="13"/>
      <c r="G625" s="14"/>
      <c r="H625" s="9">
        <f>IF(ISBLANK(C625), "", SUMIFS(F$2:F625, C$2:C625, C625) - SUMIFS(G$2:G625, C$2:C625, C625))</f>
        <v>0</v>
      </c>
    </row>
    <row r="626" spans="1:8" ht="18" customHeight="1" x14ac:dyDescent="0.55000000000000004">
      <c r="A626" s="11"/>
      <c r="C626" s="12" t="str">
        <f>IF(ISBLANK(B626), "", INDEX('কাস্টমার তালিকা'!$A$4:$A$305, MATCH(B626, 'কাস্টমার তালিকা'!$B$4:$B$305, 0)))</f>
        <v/>
      </c>
      <c r="D626" s="8"/>
      <c r="E626" s="8"/>
      <c r="F626" s="13"/>
      <c r="G626" s="14"/>
      <c r="H626" s="9">
        <f>IF(ISBLANK(C626), "", SUMIFS(F$2:F626, C$2:C626, C626) - SUMIFS(G$2:G626, C$2:C626, C626))</f>
        <v>0</v>
      </c>
    </row>
    <row r="627" spans="1:8" ht="18" customHeight="1" x14ac:dyDescent="0.55000000000000004">
      <c r="A627" s="11"/>
      <c r="C627" s="12" t="str">
        <f>IF(ISBLANK(B627), "", INDEX('কাস্টমার তালিকা'!$A$4:$A$305, MATCH(B627, 'কাস্টমার তালিকা'!$B$4:$B$305, 0)))</f>
        <v/>
      </c>
      <c r="D627" s="8"/>
      <c r="E627" s="8"/>
      <c r="F627" s="13"/>
      <c r="G627" s="14"/>
      <c r="H627" s="9">
        <f>IF(ISBLANK(C627), "", SUMIFS(F$2:F627, C$2:C627, C627) - SUMIFS(G$2:G627, C$2:C627, C627))</f>
        <v>0</v>
      </c>
    </row>
    <row r="628" spans="1:8" ht="18" customHeight="1" x14ac:dyDescent="0.55000000000000004">
      <c r="A628" s="11"/>
      <c r="C628" s="12" t="str">
        <f>IF(ISBLANK(B628), "", INDEX('কাস্টমার তালিকা'!$A$4:$A$305, MATCH(B628, 'কাস্টমার তালিকা'!$B$4:$B$305, 0)))</f>
        <v/>
      </c>
      <c r="D628" s="8"/>
      <c r="E628" s="8"/>
      <c r="F628" s="13"/>
      <c r="G628" s="14"/>
      <c r="H628" s="9">
        <f>IF(ISBLANK(C628), "", SUMIFS(F$2:F628, C$2:C628, C628) - SUMIFS(G$2:G628, C$2:C628, C628))</f>
        <v>0</v>
      </c>
    </row>
    <row r="629" spans="1:8" ht="18" customHeight="1" x14ac:dyDescent="0.55000000000000004">
      <c r="A629" s="11"/>
      <c r="C629" s="12" t="str">
        <f>IF(ISBLANK(B629), "", INDEX('কাস্টমার তালিকা'!$A$4:$A$305, MATCH(B629, 'কাস্টমার তালিকা'!$B$4:$B$305, 0)))</f>
        <v/>
      </c>
      <c r="D629" s="8"/>
      <c r="E629" s="8"/>
      <c r="F629" s="13"/>
      <c r="G629" s="14"/>
      <c r="H629" s="9">
        <f>IF(ISBLANK(C629), "", SUMIFS(F$2:F629, C$2:C629, C629) - SUMIFS(G$2:G629, C$2:C629, C629))</f>
        <v>0</v>
      </c>
    </row>
    <row r="630" spans="1:8" ht="18" customHeight="1" x14ac:dyDescent="0.55000000000000004">
      <c r="A630" s="11"/>
      <c r="C630" s="12" t="str">
        <f>IF(ISBLANK(B630), "", INDEX('কাস্টমার তালিকা'!$A$4:$A$305, MATCH(B630, 'কাস্টমার তালিকা'!$B$4:$B$305, 0)))</f>
        <v/>
      </c>
      <c r="D630" s="8"/>
      <c r="E630" s="8"/>
      <c r="F630" s="13"/>
      <c r="G630" s="14"/>
      <c r="H630" s="9">
        <f>IF(ISBLANK(C630), "", SUMIFS(F$2:F630, C$2:C630, C630) - SUMIFS(G$2:G630, C$2:C630, C630))</f>
        <v>0</v>
      </c>
    </row>
    <row r="631" spans="1:8" ht="18" customHeight="1" x14ac:dyDescent="0.55000000000000004">
      <c r="A631" s="11"/>
      <c r="C631" s="12" t="str">
        <f>IF(ISBLANK(B631), "", INDEX('কাস্টমার তালিকা'!$A$4:$A$305, MATCH(B631, 'কাস্টমার তালিকা'!$B$4:$B$305, 0)))</f>
        <v/>
      </c>
      <c r="D631" s="8"/>
      <c r="E631" s="8"/>
      <c r="F631" s="13"/>
      <c r="G631" s="14"/>
      <c r="H631" s="9">
        <f>IF(ISBLANK(C631), "", SUMIFS(F$2:F631, C$2:C631, C631) - SUMIFS(G$2:G631, C$2:C631, C631))</f>
        <v>0</v>
      </c>
    </row>
    <row r="632" spans="1:8" ht="18" customHeight="1" x14ac:dyDescent="0.55000000000000004">
      <c r="A632" s="11"/>
      <c r="C632" s="12" t="str">
        <f>IF(ISBLANK(B632), "", INDEX('কাস্টমার তালিকা'!$A$4:$A$305, MATCH(B632, 'কাস্টমার তালিকা'!$B$4:$B$305, 0)))</f>
        <v/>
      </c>
      <c r="D632" s="8"/>
      <c r="E632" s="8"/>
      <c r="F632" s="13"/>
      <c r="G632" s="14"/>
      <c r="H632" s="9">
        <f>IF(ISBLANK(C632), "", SUMIFS(F$2:F632, C$2:C632, C632) - SUMIFS(G$2:G632, C$2:C632, C632))</f>
        <v>0</v>
      </c>
    </row>
    <row r="633" spans="1:8" ht="18" customHeight="1" x14ac:dyDescent="0.55000000000000004">
      <c r="A633" s="11"/>
      <c r="C633" s="12" t="str">
        <f>IF(ISBLANK(B633), "", INDEX('কাস্টমার তালিকা'!$A$4:$A$305, MATCH(B633, 'কাস্টমার তালিকা'!$B$4:$B$305, 0)))</f>
        <v/>
      </c>
      <c r="D633" s="8"/>
      <c r="E633" s="8"/>
      <c r="F633" s="13"/>
      <c r="G633" s="14"/>
      <c r="H633" s="9">
        <f>IF(ISBLANK(C633), "", SUMIFS(F$2:F633, C$2:C633, C633) - SUMIFS(G$2:G633, C$2:C633, C633))</f>
        <v>0</v>
      </c>
    </row>
    <row r="634" spans="1:8" ht="18" customHeight="1" x14ac:dyDescent="0.55000000000000004">
      <c r="A634" s="11"/>
      <c r="C634" s="12" t="str">
        <f>IF(ISBLANK(B634), "", INDEX('কাস্টমার তালিকা'!$A$4:$A$305, MATCH(B634, 'কাস্টমার তালিকা'!$B$4:$B$305, 0)))</f>
        <v/>
      </c>
      <c r="D634" s="8"/>
      <c r="E634" s="8"/>
      <c r="F634" s="13"/>
      <c r="G634" s="14"/>
      <c r="H634" s="9">
        <f>IF(ISBLANK(C634), "", SUMIFS(F$2:F634, C$2:C634, C634) - SUMIFS(G$2:G634, C$2:C634, C634))</f>
        <v>0</v>
      </c>
    </row>
    <row r="635" spans="1:8" ht="18" customHeight="1" x14ac:dyDescent="0.55000000000000004">
      <c r="A635" s="11"/>
      <c r="C635" s="12" t="str">
        <f>IF(ISBLANK(B635), "", INDEX('কাস্টমার তালিকা'!$A$4:$A$305, MATCH(B635, 'কাস্টমার তালিকা'!$B$4:$B$305, 0)))</f>
        <v/>
      </c>
      <c r="D635" s="8"/>
      <c r="E635" s="8"/>
      <c r="F635" s="13"/>
      <c r="G635" s="14"/>
      <c r="H635" s="9">
        <f>IF(ISBLANK(C635), "", SUMIFS(F$2:F635, C$2:C635, C635) - SUMIFS(G$2:G635, C$2:C635, C635))</f>
        <v>0</v>
      </c>
    </row>
    <row r="636" spans="1:8" ht="18" customHeight="1" x14ac:dyDescent="0.55000000000000004">
      <c r="A636" s="11"/>
      <c r="C636" s="12" t="str">
        <f>IF(ISBLANK(B636), "", INDEX('কাস্টমার তালিকা'!$A$4:$A$305, MATCH(B636, 'কাস্টমার তালিকা'!$B$4:$B$305, 0)))</f>
        <v/>
      </c>
      <c r="D636" s="8"/>
      <c r="E636" s="8"/>
      <c r="F636" s="13"/>
      <c r="G636" s="14"/>
      <c r="H636" s="9">
        <f>IF(ISBLANK(C636), "", SUMIFS(F$2:F636, C$2:C636, C636) - SUMIFS(G$2:G636, C$2:C636, C636))</f>
        <v>0</v>
      </c>
    </row>
    <row r="637" spans="1:8" ht="18" customHeight="1" x14ac:dyDescent="0.55000000000000004">
      <c r="A637" s="11"/>
      <c r="C637" s="12" t="str">
        <f>IF(ISBLANK(B637), "", INDEX('কাস্টমার তালিকা'!$A$4:$A$305, MATCH(B637, 'কাস্টমার তালিকা'!$B$4:$B$305, 0)))</f>
        <v/>
      </c>
      <c r="D637" s="8"/>
      <c r="E637" s="8"/>
      <c r="F637" s="13"/>
      <c r="G637" s="14"/>
      <c r="H637" s="9">
        <f>IF(ISBLANK(C637), "", SUMIFS(F$2:F637, C$2:C637, C637) - SUMIFS(G$2:G637, C$2:C637, C637))</f>
        <v>0</v>
      </c>
    </row>
    <row r="638" spans="1:8" ht="18" customHeight="1" x14ac:dyDescent="0.55000000000000004">
      <c r="A638" s="11"/>
      <c r="C638" s="12" t="str">
        <f>IF(ISBLANK(B638), "", INDEX('কাস্টমার তালিকা'!$A$4:$A$305, MATCH(B638, 'কাস্টমার তালিকা'!$B$4:$B$305, 0)))</f>
        <v/>
      </c>
      <c r="D638" s="8"/>
      <c r="E638" s="8"/>
      <c r="F638" s="13"/>
      <c r="G638" s="14"/>
      <c r="H638" s="9">
        <f>IF(ISBLANK(C638), "", SUMIFS(F$2:F638, C$2:C638, C638) - SUMIFS(G$2:G638, C$2:C638, C638))</f>
        <v>0</v>
      </c>
    </row>
    <row r="639" spans="1:8" ht="18" customHeight="1" x14ac:dyDescent="0.55000000000000004">
      <c r="A639" s="11"/>
      <c r="C639" s="12" t="str">
        <f>IF(ISBLANK(B639), "", INDEX('কাস্টমার তালিকা'!$A$4:$A$305, MATCH(B639, 'কাস্টমার তালিকা'!$B$4:$B$305, 0)))</f>
        <v/>
      </c>
      <c r="D639" s="8"/>
      <c r="E639" s="8"/>
      <c r="F639" s="13"/>
      <c r="G639" s="14"/>
      <c r="H639" s="9">
        <f>IF(ISBLANK(C639), "", SUMIFS(F$2:F639, C$2:C639, C639) - SUMIFS(G$2:G639, C$2:C639, C639))</f>
        <v>0</v>
      </c>
    </row>
    <row r="640" spans="1:8" ht="18" customHeight="1" x14ac:dyDescent="0.55000000000000004">
      <c r="A640" s="11"/>
      <c r="C640" s="12" t="str">
        <f>IF(ISBLANK(B640), "", INDEX('কাস্টমার তালিকা'!$A$4:$A$305, MATCH(B640, 'কাস্টমার তালিকা'!$B$4:$B$305, 0)))</f>
        <v/>
      </c>
      <c r="D640" s="8"/>
      <c r="E640" s="8"/>
      <c r="F640" s="13"/>
      <c r="G640" s="14"/>
      <c r="H640" s="9">
        <f>IF(ISBLANK(C640), "", SUMIFS(F$2:F640, C$2:C640, C640) - SUMIFS(G$2:G640, C$2:C640, C640))</f>
        <v>0</v>
      </c>
    </row>
    <row r="641" spans="1:8" ht="18" customHeight="1" x14ac:dyDescent="0.55000000000000004">
      <c r="A641" s="11"/>
      <c r="C641" s="12" t="str">
        <f>IF(ISBLANK(B641), "", INDEX('কাস্টমার তালিকা'!$A$4:$A$305, MATCH(B641, 'কাস্টমার তালিকা'!$B$4:$B$305, 0)))</f>
        <v/>
      </c>
      <c r="D641" s="8"/>
      <c r="E641" s="8"/>
      <c r="F641" s="13"/>
      <c r="G641" s="14"/>
      <c r="H641" s="9">
        <f>IF(ISBLANK(C641), "", SUMIFS(F$2:F641, C$2:C641, C641) - SUMIFS(G$2:G641, C$2:C641, C641))</f>
        <v>0</v>
      </c>
    </row>
    <row r="642" spans="1:8" ht="18" customHeight="1" x14ac:dyDescent="0.55000000000000004">
      <c r="A642" s="11"/>
      <c r="C642" s="12" t="str">
        <f>IF(ISBLANK(B642), "", INDEX('কাস্টমার তালিকা'!$A$4:$A$305, MATCH(B642, 'কাস্টমার তালিকা'!$B$4:$B$305, 0)))</f>
        <v/>
      </c>
      <c r="D642" s="8"/>
      <c r="E642" s="8"/>
      <c r="F642" s="13"/>
      <c r="G642" s="14"/>
      <c r="H642" s="9">
        <f>IF(ISBLANK(C642), "", SUMIFS(F$2:F642, C$2:C642, C642) - SUMIFS(G$2:G642, C$2:C642, C642))</f>
        <v>0</v>
      </c>
    </row>
    <row r="643" spans="1:8" ht="18" customHeight="1" x14ac:dyDescent="0.55000000000000004">
      <c r="A643" s="11"/>
      <c r="C643" s="12" t="str">
        <f>IF(ISBLANK(B643), "", INDEX('কাস্টমার তালিকা'!$A$4:$A$305, MATCH(B643, 'কাস্টমার তালিকা'!$B$4:$B$305, 0)))</f>
        <v/>
      </c>
      <c r="D643" s="8"/>
      <c r="E643" s="8"/>
      <c r="F643" s="13"/>
      <c r="G643" s="14"/>
      <c r="H643" s="9">
        <f>IF(ISBLANK(C643), "", SUMIFS(F$2:F643, C$2:C643, C643) - SUMIFS(G$2:G643, C$2:C643, C643))</f>
        <v>0</v>
      </c>
    </row>
    <row r="644" spans="1:8" ht="18" customHeight="1" x14ac:dyDescent="0.55000000000000004">
      <c r="A644" s="11"/>
      <c r="C644" s="12" t="str">
        <f>IF(ISBLANK(B644), "", INDEX('কাস্টমার তালিকা'!$A$4:$A$305, MATCH(B644, 'কাস্টমার তালিকা'!$B$4:$B$305, 0)))</f>
        <v/>
      </c>
      <c r="D644" s="8"/>
      <c r="E644" s="8"/>
      <c r="F644" s="13"/>
      <c r="G644" s="14"/>
      <c r="H644" s="9">
        <f>IF(ISBLANK(C644), "", SUMIFS(F$2:F644, C$2:C644, C644) - SUMIFS(G$2:G644, C$2:C644, C644))</f>
        <v>0</v>
      </c>
    </row>
    <row r="645" spans="1:8" ht="18" customHeight="1" x14ac:dyDescent="0.55000000000000004">
      <c r="A645" s="11"/>
      <c r="C645" s="12" t="str">
        <f>IF(ISBLANK(B645), "", INDEX('কাস্টমার তালিকা'!$A$4:$A$305, MATCH(B645, 'কাস্টমার তালিকা'!$B$4:$B$305, 0)))</f>
        <v/>
      </c>
      <c r="D645" s="8"/>
      <c r="E645" s="8"/>
      <c r="F645" s="13"/>
      <c r="G645" s="14"/>
      <c r="H645" s="9">
        <f>IF(ISBLANK(C645), "", SUMIFS(F$2:F645, C$2:C645, C645) - SUMIFS(G$2:G645, C$2:C645, C645))</f>
        <v>0</v>
      </c>
    </row>
    <row r="646" spans="1:8" ht="18" customHeight="1" x14ac:dyDescent="0.55000000000000004">
      <c r="A646" s="11"/>
      <c r="C646" s="12" t="str">
        <f>IF(ISBLANK(B646), "", INDEX('কাস্টমার তালিকা'!$A$4:$A$305, MATCH(B646, 'কাস্টমার তালিকা'!$B$4:$B$305, 0)))</f>
        <v/>
      </c>
      <c r="D646" s="8"/>
      <c r="E646" s="8"/>
      <c r="F646" s="13"/>
      <c r="G646" s="14"/>
      <c r="H646" s="9">
        <f>IF(ISBLANK(C646), "", SUMIFS(F$2:F646, C$2:C646, C646) - SUMIFS(G$2:G646, C$2:C646, C646))</f>
        <v>0</v>
      </c>
    </row>
    <row r="647" spans="1:8" ht="18" customHeight="1" x14ac:dyDescent="0.55000000000000004">
      <c r="A647" s="11"/>
      <c r="C647" s="12" t="str">
        <f>IF(ISBLANK(B647), "", INDEX('কাস্টমার তালিকা'!$A$4:$A$305, MATCH(B647, 'কাস্টমার তালিকা'!$B$4:$B$305, 0)))</f>
        <v/>
      </c>
      <c r="D647" s="8"/>
      <c r="E647" s="8"/>
      <c r="F647" s="13"/>
      <c r="G647" s="14"/>
      <c r="H647" s="9">
        <f>IF(ISBLANK(C647), "", SUMIFS(F$2:F647, C$2:C647, C647) - SUMIFS(G$2:G647, C$2:C647, C647))</f>
        <v>0</v>
      </c>
    </row>
    <row r="648" spans="1:8" ht="18" customHeight="1" x14ac:dyDescent="0.55000000000000004">
      <c r="A648" s="11"/>
      <c r="C648" s="12" t="str">
        <f>IF(ISBLANK(B648), "", INDEX('কাস্টমার তালিকা'!$A$4:$A$305, MATCH(B648, 'কাস্টমার তালিকা'!$B$4:$B$305, 0)))</f>
        <v/>
      </c>
      <c r="D648" s="8"/>
      <c r="E648" s="8"/>
      <c r="F648" s="13"/>
      <c r="G648" s="14"/>
      <c r="H648" s="9">
        <f>IF(ISBLANK(C648), "", SUMIFS(F$2:F648, C$2:C648, C648) - SUMIFS(G$2:G648, C$2:C648, C648))</f>
        <v>0</v>
      </c>
    </row>
    <row r="649" spans="1:8" ht="18" customHeight="1" x14ac:dyDescent="0.55000000000000004">
      <c r="A649" s="11"/>
      <c r="C649" s="12" t="str">
        <f>IF(ISBLANK(B649), "", INDEX('কাস্টমার তালিকা'!$A$4:$A$305, MATCH(B649, 'কাস্টমার তালিকা'!$B$4:$B$305, 0)))</f>
        <v/>
      </c>
      <c r="D649" s="8"/>
      <c r="E649" s="8"/>
      <c r="F649" s="13"/>
      <c r="G649" s="14"/>
      <c r="H649" s="9">
        <f>IF(ISBLANK(C649), "", SUMIFS(F$2:F649, C$2:C649, C649) - SUMIFS(G$2:G649, C$2:C649, C649))</f>
        <v>0</v>
      </c>
    </row>
    <row r="650" spans="1:8" ht="18" customHeight="1" x14ac:dyDescent="0.55000000000000004">
      <c r="A650" s="11"/>
      <c r="C650" s="12" t="str">
        <f>IF(ISBLANK(B650), "", INDEX('কাস্টমার তালিকা'!$A$4:$A$305, MATCH(B650, 'কাস্টমার তালিকা'!$B$4:$B$305, 0)))</f>
        <v/>
      </c>
      <c r="D650" s="8"/>
      <c r="E650" s="8"/>
      <c r="F650" s="13"/>
      <c r="G650" s="14"/>
      <c r="H650" s="9">
        <f>IF(ISBLANK(C650), "", SUMIFS(F$2:F650, C$2:C650, C650) - SUMIFS(G$2:G650, C$2:C650, C650))</f>
        <v>0</v>
      </c>
    </row>
    <row r="651" spans="1:8" ht="18" customHeight="1" x14ac:dyDescent="0.55000000000000004">
      <c r="A651" s="11"/>
      <c r="C651" s="12" t="str">
        <f>IF(ISBLANK(B651), "", INDEX('কাস্টমার তালিকা'!$A$4:$A$305, MATCH(B651, 'কাস্টমার তালিকা'!$B$4:$B$305, 0)))</f>
        <v/>
      </c>
      <c r="D651" s="8"/>
      <c r="E651" s="8"/>
      <c r="F651" s="13"/>
      <c r="G651" s="14"/>
      <c r="H651" s="9">
        <f>IF(ISBLANK(C651), "", SUMIFS(F$2:F651, C$2:C651, C651) - SUMIFS(G$2:G651, C$2:C651, C651))</f>
        <v>0</v>
      </c>
    </row>
    <row r="652" spans="1:8" ht="18" customHeight="1" x14ac:dyDescent="0.55000000000000004">
      <c r="A652" s="11"/>
      <c r="C652" s="12" t="str">
        <f>IF(ISBLANK(B652), "", INDEX('কাস্টমার তালিকা'!$A$4:$A$305, MATCH(B652, 'কাস্টমার তালিকা'!$B$4:$B$305, 0)))</f>
        <v/>
      </c>
      <c r="D652" s="8"/>
      <c r="E652" s="8"/>
      <c r="F652" s="13"/>
      <c r="G652" s="14"/>
      <c r="H652" s="9">
        <f>IF(ISBLANK(C652), "", SUMIFS(F$2:F652, C$2:C652, C652) - SUMIFS(G$2:G652, C$2:C652, C652))</f>
        <v>0</v>
      </c>
    </row>
    <row r="653" spans="1:8" ht="18" customHeight="1" x14ac:dyDescent="0.55000000000000004">
      <c r="A653" s="11"/>
      <c r="C653" s="12" t="str">
        <f>IF(ISBLANK(B653), "", INDEX('কাস্টমার তালিকা'!$A$4:$A$305, MATCH(B653, 'কাস্টমার তালিকা'!$B$4:$B$305, 0)))</f>
        <v/>
      </c>
      <c r="D653" s="8"/>
      <c r="E653" s="8"/>
      <c r="F653" s="13"/>
      <c r="G653" s="14"/>
      <c r="H653" s="9">
        <f>IF(ISBLANK(C653), "", SUMIFS(F$2:F653, C$2:C653, C653) - SUMIFS(G$2:G653, C$2:C653, C653))</f>
        <v>0</v>
      </c>
    </row>
    <row r="654" spans="1:8" ht="18" customHeight="1" x14ac:dyDescent="0.55000000000000004">
      <c r="A654" s="11"/>
      <c r="C654" s="12" t="str">
        <f>IF(ISBLANK(B654), "", INDEX('কাস্টমার তালিকা'!$A$4:$A$305, MATCH(B654, 'কাস্টমার তালিকা'!$B$4:$B$305, 0)))</f>
        <v/>
      </c>
      <c r="D654" s="8"/>
      <c r="E654" s="8"/>
      <c r="F654" s="13"/>
      <c r="G654" s="14"/>
      <c r="H654" s="9">
        <f>IF(ISBLANK(C654), "", SUMIFS(F$2:F654, C$2:C654, C654) - SUMIFS(G$2:G654, C$2:C654, C654))</f>
        <v>0</v>
      </c>
    </row>
    <row r="655" spans="1:8" ht="18" customHeight="1" x14ac:dyDescent="0.55000000000000004">
      <c r="A655" s="11"/>
      <c r="C655" s="12" t="str">
        <f>IF(ISBLANK(B655), "", INDEX('কাস্টমার তালিকা'!$A$4:$A$305, MATCH(B655, 'কাস্টমার তালিকা'!$B$4:$B$305, 0)))</f>
        <v/>
      </c>
      <c r="D655" s="8"/>
      <c r="E655" s="8"/>
      <c r="F655" s="13"/>
      <c r="G655" s="14"/>
      <c r="H655" s="9">
        <f>IF(ISBLANK(C655), "", SUMIFS(F$2:F655, C$2:C655, C655) - SUMIFS(G$2:G655, C$2:C655, C655))</f>
        <v>0</v>
      </c>
    </row>
    <row r="656" spans="1:8" ht="18" customHeight="1" x14ac:dyDescent="0.55000000000000004">
      <c r="A656" s="11"/>
      <c r="C656" s="12" t="str">
        <f>IF(ISBLANK(B656), "", INDEX('কাস্টমার তালিকা'!$A$4:$A$305, MATCH(B656, 'কাস্টমার তালিকা'!$B$4:$B$305, 0)))</f>
        <v/>
      </c>
      <c r="D656" s="8"/>
      <c r="E656" s="8"/>
      <c r="F656" s="13"/>
      <c r="G656" s="14"/>
      <c r="H656" s="9">
        <f>IF(ISBLANK(C656), "", SUMIFS(F$2:F656, C$2:C656, C656) - SUMIFS(G$2:G656, C$2:C656, C656))</f>
        <v>0</v>
      </c>
    </row>
    <row r="657" spans="1:8" ht="18" customHeight="1" x14ac:dyDescent="0.55000000000000004">
      <c r="A657" s="11"/>
      <c r="C657" s="12" t="str">
        <f>IF(ISBLANK(B657), "", INDEX('কাস্টমার তালিকা'!$A$4:$A$305, MATCH(B657, 'কাস্টমার তালিকা'!$B$4:$B$305, 0)))</f>
        <v/>
      </c>
      <c r="D657" s="8"/>
      <c r="E657" s="8"/>
      <c r="F657" s="13"/>
      <c r="G657" s="14"/>
      <c r="H657" s="9">
        <f>IF(ISBLANK(C657), "", SUMIFS(F$2:F657, C$2:C657, C657) - SUMIFS(G$2:G657, C$2:C657, C657))</f>
        <v>0</v>
      </c>
    </row>
    <row r="658" spans="1:8" ht="18" customHeight="1" x14ac:dyDescent="0.55000000000000004">
      <c r="A658" s="11"/>
      <c r="C658" s="12" t="str">
        <f>IF(ISBLANK(B658), "", INDEX('কাস্টমার তালিকা'!$A$4:$A$305, MATCH(B658, 'কাস্টমার তালিকা'!$B$4:$B$305, 0)))</f>
        <v/>
      </c>
      <c r="D658" s="8"/>
      <c r="E658" s="8"/>
      <c r="F658" s="13"/>
      <c r="G658" s="14"/>
      <c r="H658" s="9">
        <f>IF(ISBLANK(C658), "", SUMIFS(F$2:F658, C$2:C658, C658) - SUMIFS(G$2:G658, C$2:C658, C658))</f>
        <v>0</v>
      </c>
    </row>
    <row r="659" spans="1:8" ht="18" customHeight="1" x14ac:dyDescent="0.55000000000000004">
      <c r="A659" s="11"/>
      <c r="C659" s="12" t="str">
        <f>IF(ISBLANK(B659), "", INDEX('কাস্টমার তালিকা'!$A$4:$A$305, MATCH(B659, 'কাস্টমার তালিকা'!$B$4:$B$305, 0)))</f>
        <v/>
      </c>
      <c r="D659" s="8"/>
      <c r="E659" s="8"/>
      <c r="F659" s="13"/>
      <c r="G659" s="14"/>
      <c r="H659" s="9">
        <f>IF(ISBLANK(C659), "", SUMIFS(F$2:F659, C$2:C659, C659) - SUMIFS(G$2:G659, C$2:C659, C659))</f>
        <v>0</v>
      </c>
    </row>
    <row r="660" spans="1:8" ht="18" customHeight="1" x14ac:dyDescent="0.55000000000000004">
      <c r="A660" s="11"/>
      <c r="C660" s="12" t="str">
        <f>IF(ISBLANK(B660), "", INDEX('কাস্টমার তালিকা'!$A$4:$A$305, MATCH(B660, 'কাস্টমার তালিকা'!$B$4:$B$305, 0)))</f>
        <v/>
      </c>
      <c r="D660" s="8"/>
      <c r="E660" s="8"/>
      <c r="F660" s="13"/>
      <c r="G660" s="14"/>
      <c r="H660" s="9">
        <f>IF(ISBLANK(C660), "", SUMIFS(F$2:F660, C$2:C660, C660) - SUMIFS(G$2:G660, C$2:C660, C660))</f>
        <v>0</v>
      </c>
    </row>
    <row r="661" spans="1:8" ht="18" customHeight="1" x14ac:dyDescent="0.55000000000000004">
      <c r="A661" s="11"/>
      <c r="C661" s="12" t="str">
        <f>IF(ISBLANK(B661), "", INDEX('কাস্টমার তালিকা'!$A$4:$A$305, MATCH(B661, 'কাস্টমার তালিকা'!$B$4:$B$305, 0)))</f>
        <v/>
      </c>
      <c r="D661" s="8"/>
      <c r="E661" s="8"/>
      <c r="F661" s="13"/>
      <c r="G661" s="14"/>
      <c r="H661" s="9">
        <f>IF(ISBLANK(C661), "", SUMIFS(F$2:F661, C$2:C661, C661) - SUMIFS(G$2:G661, C$2:C661, C661))</f>
        <v>0</v>
      </c>
    </row>
    <row r="662" spans="1:8" ht="18" customHeight="1" x14ac:dyDescent="0.55000000000000004">
      <c r="A662" s="11"/>
      <c r="C662" s="12" t="str">
        <f>IF(ISBLANK(B662), "", INDEX('কাস্টমার তালিকা'!$A$4:$A$305, MATCH(B662, 'কাস্টমার তালিকা'!$B$4:$B$305, 0)))</f>
        <v/>
      </c>
      <c r="D662" s="8"/>
      <c r="E662" s="8"/>
      <c r="F662" s="13"/>
      <c r="G662" s="14"/>
      <c r="H662" s="9">
        <f>IF(ISBLANK(C662), "", SUMIFS(F$2:F662, C$2:C662, C662) - SUMIFS(G$2:G662, C$2:C662, C662))</f>
        <v>0</v>
      </c>
    </row>
    <row r="663" spans="1:8" ht="18" customHeight="1" x14ac:dyDescent="0.55000000000000004">
      <c r="A663" s="11"/>
      <c r="C663" s="12" t="str">
        <f>IF(ISBLANK(B663), "", INDEX('কাস্টমার তালিকা'!$A$4:$A$305, MATCH(B663, 'কাস্টমার তালিকা'!$B$4:$B$305, 0)))</f>
        <v/>
      </c>
      <c r="D663" s="8"/>
      <c r="E663" s="8"/>
      <c r="F663" s="13"/>
      <c r="G663" s="14"/>
      <c r="H663" s="9">
        <f>IF(ISBLANK(C663), "", SUMIFS(F$2:F663, C$2:C663, C663) - SUMIFS(G$2:G663, C$2:C663, C663))</f>
        <v>0</v>
      </c>
    </row>
    <row r="664" spans="1:8" ht="18" customHeight="1" x14ac:dyDescent="0.55000000000000004">
      <c r="A664" s="11"/>
      <c r="C664" s="12" t="str">
        <f>IF(ISBLANK(B664), "", INDEX('কাস্টমার তালিকা'!$A$4:$A$305, MATCH(B664, 'কাস্টমার তালিকা'!$B$4:$B$305, 0)))</f>
        <v/>
      </c>
      <c r="D664" s="8"/>
      <c r="E664" s="8"/>
      <c r="F664" s="13"/>
      <c r="G664" s="14"/>
      <c r="H664" s="9">
        <f>IF(ISBLANK(C664), "", SUMIFS(F$2:F664, C$2:C664, C664) - SUMIFS(G$2:G664, C$2:C664, C664))</f>
        <v>0</v>
      </c>
    </row>
    <row r="665" spans="1:8" ht="18" customHeight="1" x14ac:dyDescent="0.55000000000000004">
      <c r="A665" s="11"/>
      <c r="C665" s="12" t="str">
        <f>IF(ISBLANK(B665), "", INDEX('কাস্টমার তালিকা'!$A$4:$A$305, MATCH(B665, 'কাস্টমার তালিকা'!$B$4:$B$305, 0)))</f>
        <v/>
      </c>
      <c r="D665" s="8"/>
      <c r="E665" s="8"/>
      <c r="F665" s="13"/>
      <c r="G665" s="14"/>
      <c r="H665" s="9">
        <f>IF(ISBLANK(C665), "", SUMIFS(F$2:F665, C$2:C665, C665) - SUMIFS(G$2:G665, C$2:C665, C665))</f>
        <v>0</v>
      </c>
    </row>
    <row r="666" spans="1:8" ht="18" customHeight="1" x14ac:dyDescent="0.55000000000000004">
      <c r="A666" s="11"/>
      <c r="C666" s="12" t="str">
        <f>IF(ISBLANK(B666), "", INDEX('কাস্টমার তালিকা'!$A$4:$A$305, MATCH(B666, 'কাস্টমার তালিকা'!$B$4:$B$305, 0)))</f>
        <v/>
      </c>
      <c r="D666" s="8"/>
      <c r="E666" s="8"/>
      <c r="F666" s="13"/>
      <c r="G666" s="14"/>
      <c r="H666" s="9">
        <f>IF(ISBLANK(C666), "", SUMIFS(F$2:F666, C$2:C666, C666) - SUMIFS(G$2:G666, C$2:C666, C666))</f>
        <v>0</v>
      </c>
    </row>
    <row r="667" spans="1:8" ht="18" customHeight="1" x14ac:dyDescent="0.55000000000000004">
      <c r="A667" s="11"/>
      <c r="C667" s="12" t="str">
        <f>IF(ISBLANK(B667), "", INDEX('কাস্টমার তালিকা'!$A$4:$A$305, MATCH(B667, 'কাস্টমার তালিকা'!$B$4:$B$305, 0)))</f>
        <v/>
      </c>
      <c r="D667" s="8"/>
      <c r="E667" s="8"/>
      <c r="F667" s="13"/>
      <c r="G667" s="14"/>
      <c r="H667" s="9">
        <f>IF(ISBLANK(C667), "", SUMIFS(F$2:F667, C$2:C667, C667) - SUMIFS(G$2:G667, C$2:C667, C667))</f>
        <v>0</v>
      </c>
    </row>
    <row r="668" spans="1:8" ht="18" customHeight="1" x14ac:dyDescent="0.55000000000000004">
      <c r="A668" s="11"/>
      <c r="C668" s="12" t="str">
        <f>IF(ISBLANK(B668), "", INDEX('কাস্টমার তালিকা'!$A$4:$A$305, MATCH(B668, 'কাস্টমার তালিকা'!$B$4:$B$305, 0)))</f>
        <v/>
      </c>
      <c r="D668" s="8"/>
      <c r="E668" s="8"/>
      <c r="F668" s="13"/>
      <c r="G668" s="14"/>
      <c r="H668" s="9">
        <f>IF(ISBLANK(C668), "", SUMIFS(F$2:F668, C$2:C668, C668) - SUMIFS(G$2:G668, C$2:C668, C668))</f>
        <v>0</v>
      </c>
    </row>
    <row r="669" spans="1:8" ht="18" customHeight="1" x14ac:dyDescent="0.55000000000000004">
      <c r="A669" s="11"/>
      <c r="C669" s="12" t="str">
        <f>IF(ISBLANK(B669), "", INDEX('কাস্টমার তালিকা'!$A$4:$A$305, MATCH(B669, 'কাস্টমার তালিকা'!$B$4:$B$305, 0)))</f>
        <v/>
      </c>
      <c r="D669" s="8"/>
      <c r="E669" s="8"/>
      <c r="F669" s="13"/>
      <c r="G669" s="14"/>
      <c r="H669" s="9">
        <f>IF(ISBLANK(C669), "", SUMIFS(F$2:F669, C$2:C669, C669) - SUMIFS(G$2:G669, C$2:C669, C669))</f>
        <v>0</v>
      </c>
    </row>
    <row r="670" spans="1:8" ht="18" customHeight="1" x14ac:dyDescent="0.55000000000000004">
      <c r="A670" s="11"/>
      <c r="C670" s="12" t="str">
        <f>IF(ISBLANK(B670), "", INDEX('কাস্টমার তালিকা'!$A$4:$A$305, MATCH(B670, 'কাস্টমার তালিকা'!$B$4:$B$305, 0)))</f>
        <v/>
      </c>
      <c r="D670" s="8"/>
      <c r="E670" s="8"/>
      <c r="F670" s="13"/>
      <c r="G670" s="14"/>
      <c r="H670" s="9">
        <f>IF(ISBLANK(C670), "", SUMIFS(F$2:F670, C$2:C670, C670) - SUMIFS(G$2:G670, C$2:C670, C670))</f>
        <v>0</v>
      </c>
    </row>
    <row r="671" spans="1:8" ht="18" customHeight="1" x14ac:dyDescent="0.55000000000000004">
      <c r="A671" s="11"/>
      <c r="C671" s="12" t="str">
        <f>IF(ISBLANK(B671), "", INDEX('কাস্টমার তালিকা'!$A$4:$A$305, MATCH(B671, 'কাস্টমার তালিকা'!$B$4:$B$305, 0)))</f>
        <v/>
      </c>
      <c r="D671" s="8"/>
      <c r="E671" s="8"/>
      <c r="F671" s="13"/>
      <c r="G671" s="14"/>
      <c r="H671" s="9">
        <f>IF(ISBLANK(C671), "", SUMIFS(F$2:F671, C$2:C671, C671) - SUMIFS(G$2:G671, C$2:C671, C671))</f>
        <v>0</v>
      </c>
    </row>
    <row r="672" spans="1:8" ht="18" customHeight="1" x14ac:dyDescent="0.55000000000000004">
      <c r="A672" s="11"/>
      <c r="C672" s="12" t="str">
        <f>IF(ISBLANK(B672), "", INDEX('কাস্টমার তালিকা'!$A$4:$A$305, MATCH(B672, 'কাস্টমার তালিকা'!$B$4:$B$305, 0)))</f>
        <v/>
      </c>
      <c r="D672" s="8"/>
      <c r="E672" s="8"/>
      <c r="F672" s="13"/>
      <c r="G672" s="14"/>
      <c r="H672" s="9">
        <f>IF(ISBLANK(C672), "", SUMIFS(F$2:F672, C$2:C672, C672) - SUMIFS(G$2:G672, C$2:C672, C672))</f>
        <v>0</v>
      </c>
    </row>
    <row r="673" spans="1:8" ht="18" customHeight="1" x14ac:dyDescent="0.55000000000000004">
      <c r="A673" s="11"/>
      <c r="C673" s="12" t="str">
        <f>IF(ISBLANK(B673), "", INDEX('কাস্টমার তালিকা'!$A$4:$A$305, MATCH(B673, 'কাস্টমার তালিকা'!$B$4:$B$305, 0)))</f>
        <v/>
      </c>
      <c r="D673" s="8"/>
      <c r="E673" s="8"/>
      <c r="F673" s="13"/>
      <c r="G673" s="14"/>
      <c r="H673" s="9">
        <f>IF(ISBLANK(C673), "", SUMIFS(F$2:F673, C$2:C673, C673) - SUMIFS(G$2:G673, C$2:C673, C673))</f>
        <v>0</v>
      </c>
    </row>
    <row r="674" spans="1:8" ht="18" customHeight="1" x14ac:dyDescent="0.55000000000000004">
      <c r="A674" s="11"/>
      <c r="C674" s="12" t="str">
        <f>IF(ISBLANK(B674), "", INDEX('কাস্টমার তালিকা'!$A$4:$A$305, MATCH(B674, 'কাস্টমার তালিকা'!$B$4:$B$305, 0)))</f>
        <v/>
      </c>
      <c r="D674" s="8"/>
      <c r="E674" s="8"/>
      <c r="F674" s="13"/>
      <c r="G674" s="14"/>
      <c r="H674" s="9">
        <f>IF(ISBLANK(C674), "", SUMIFS(F$2:F674, C$2:C674, C674) - SUMIFS(G$2:G674, C$2:C674, C674))</f>
        <v>0</v>
      </c>
    </row>
    <row r="675" spans="1:8" ht="18" customHeight="1" x14ac:dyDescent="0.55000000000000004">
      <c r="A675" s="11"/>
      <c r="C675" s="12" t="str">
        <f>IF(ISBLANK(B675), "", INDEX('কাস্টমার তালিকা'!$A$4:$A$305, MATCH(B675, 'কাস্টমার তালিকা'!$B$4:$B$305, 0)))</f>
        <v/>
      </c>
      <c r="D675" s="8"/>
      <c r="E675" s="8"/>
      <c r="F675" s="13"/>
      <c r="G675" s="14"/>
      <c r="H675" s="9">
        <f>IF(ISBLANK(C675), "", SUMIFS(F$2:F675, C$2:C675, C675) - SUMIFS(G$2:G675, C$2:C675, C675))</f>
        <v>0</v>
      </c>
    </row>
    <row r="676" spans="1:8" ht="18" customHeight="1" x14ac:dyDescent="0.55000000000000004">
      <c r="A676" s="11"/>
      <c r="C676" s="12" t="str">
        <f>IF(ISBLANK(B676), "", INDEX('কাস্টমার তালিকা'!$A$4:$A$305, MATCH(B676, 'কাস্টমার তালিকা'!$B$4:$B$305, 0)))</f>
        <v/>
      </c>
      <c r="D676" s="8"/>
      <c r="E676" s="8"/>
      <c r="F676" s="13"/>
      <c r="G676" s="14"/>
      <c r="H676" s="9">
        <f>IF(ISBLANK(C676), "", SUMIFS(F$2:F676, C$2:C676, C676) - SUMIFS(G$2:G676, C$2:C676, C676))</f>
        <v>0</v>
      </c>
    </row>
    <row r="677" spans="1:8" ht="18" customHeight="1" x14ac:dyDescent="0.55000000000000004">
      <c r="A677" s="11"/>
      <c r="C677" s="12" t="str">
        <f>IF(ISBLANK(B677), "", INDEX('কাস্টমার তালিকা'!$A$4:$A$305, MATCH(B677, 'কাস্টমার তালিকা'!$B$4:$B$305, 0)))</f>
        <v/>
      </c>
      <c r="D677" s="8"/>
      <c r="E677" s="8"/>
      <c r="F677" s="13"/>
      <c r="G677" s="14"/>
      <c r="H677" s="9">
        <f>IF(ISBLANK(C677), "", SUMIFS(F$2:F677, C$2:C677, C677) - SUMIFS(G$2:G677, C$2:C677, C677))</f>
        <v>0</v>
      </c>
    </row>
    <row r="678" spans="1:8" ht="18" customHeight="1" x14ac:dyDescent="0.55000000000000004">
      <c r="A678" s="11"/>
      <c r="C678" s="12" t="str">
        <f>IF(ISBLANK(B678), "", INDEX('কাস্টমার তালিকা'!$A$4:$A$305, MATCH(B678, 'কাস্টমার তালিকা'!$B$4:$B$305, 0)))</f>
        <v/>
      </c>
      <c r="D678" s="8"/>
      <c r="E678" s="8"/>
      <c r="F678" s="13"/>
      <c r="G678" s="14"/>
      <c r="H678" s="9">
        <f>IF(ISBLANK(C678), "", SUMIFS(F$2:F678, C$2:C678, C678) - SUMIFS(G$2:G678, C$2:C678, C678))</f>
        <v>0</v>
      </c>
    </row>
    <row r="679" spans="1:8" ht="18" customHeight="1" x14ac:dyDescent="0.55000000000000004">
      <c r="A679" s="11"/>
      <c r="C679" s="12" t="str">
        <f>IF(ISBLANK(B679), "", INDEX('কাস্টমার তালিকা'!$A$4:$A$305, MATCH(B679, 'কাস্টমার তালিকা'!$B$4:$B$305, 0)))</f>
        <v/>
      </c>
      <c r="D679" s="8"/>
      <c r="E679" s="8"/>
      <c r="F679" s="13"/>
      <c r="G679" s="14"/>
      <c r="H679" s="9">
        <f>IF(ISBLANK(C679), "", SUMIFS(F$2:F679, C$2:C679, C679) - SUMIFS(G$2:G679, C$2:C679, C679))</f>
        <v>0</v>
      </c>
    </row>
    <row r="680" spans="1:8" ht="18" customHeight="1" x14ac:dyDescent="0.55000000000000004">
      <c r="A680" s="11"/>
      <c r="C680" s="12" t="str">
        <f>IF(ISBLANK(B680), "", INDEX('কাস্টমার তালিকা'!$A$4:$A$305, MATCH(B680, 'কাস্টমার তালিকা'!$B$4:$B$305, 0)))</f>
        <v/>
      </c>
      <c r="D680" s="8"/>
      <c r="E680" s="8"/>
      <c r="F680" s="13"/>
      <c r="G680" s="14"/>
      <c r="H680" s="9">
        <f>IF(ISBLANK(C680), "", SUMIFS(F$2:F680, C$2:C680, C680) - SUMIFS(G$2:G680, C$2:C680, C680))</f>
        <v>0</v>
      </c>
    </row>
    <row r="681" spans="1:8" ht="18" customHeight="1" x14ac:dyDescent="0.55000000000000004">
      <c r="A681" s="11"/>
      <c r="C681" s="12" t="str">
        <f>IF(ISBLANK(B681), "", INDEX('কাস্টমার তালিকা'!$A$4:$A$305, MATCH(B681, 'কাস্টমার তালিকা'!$B$4:$B$305, 0)))</f>
        <v/>
      </c>
      <c r="D681" s="8"/>
      <c r="E681" s="8"/>
      <c r="F681" s="13"/>
      <c r="G681" s="14"/>
      <c r="H681" s="9">
        <f>IF(ISBLANK(C681), "", SUMIFS(F$2:F681, C$2:C681, C681) - SUMIFS(G$2:G681, C$2:C681, C681))</f>
        <v>0</v>
      </c>
    </row>
    <row r="682" spans="1:8" ht="18" customHeight="1" x14ac:dyDescent="0.55000000000000004">
      <c r="A682" s="11"/>
      <c r="C682" s="12" t="str">
        <f>IF(ISBLANK(B682), "", INDEX('কাস্টমার তালিকা'!$A$4:$A$305, MATCH(B682, 'কাস্টমার তালিকা'!$B$4:$B$305, 0)))</f>
        <v/>
      </c>
      <c r="D682" s="8"/>
      <c r="E682" s="8"/>
      <c r="F682" s="13"/>
      <c r="G682" s="14"/>
      <c r="H682" s="9">
        <f>IF(ISBLANK(C682), "", SUMIFS(F$2:F682, C$2:C682, C682) - SUMIFS(G$2:G682, C$2:C682, C682))</f>
        <v>0</v>
      </c>
    </row>
    <row r="683" spans="1:8" ht="18" customHeight="1" x14ac:dyDescent="0.55000000000000004">
      <c r="A683" s="11"/>
      <c r="C683" s="12" t="str">
        <f>IF(ISBLANK(B683), "", INDEX('কাস্টমার তালিকা'!$A$4:$A$305, MATCH(B683, 'কাস্টমার তালিকা'!$B$4:$B$305, 0)))</f>
        <v/>
      </c>
      <c r="D683" s="8"/>
      <c r="E683" s="8"/>
      <c r="F683" s="13"/>
      <c r="G683" s="14"/>
      <c r="H683" s="9">
        <f>IF(ISBLANK(C683), "", SUMIFS(F$2:F683, C$2:C683, C683) - SUMIFS(G$2:G683, C$2:C683, C683))</f>
        <v>0</v>
      </c>
    </row>
    <row r="684" spans="1:8" ht="18" customHeight="1" x14ac:dyDescent="0.55000000000000004">
      <c r="A684" s="11"/>
      <c r="C684" s="12" t="str">
        <f>IF(ISBLANK(B684), "", INDEX('কাস্টমার তালিকা'!$A$4:$A$305, MATCH(B684, 'কাস্টমার তালিকা'!$B$4:$B$305, 0)))</f>
        <v/>
      </c>
      <c r="D684" s="8"/>
      <c r="E684" s="8"/>
      <c r="F684" s="13"/>
      <c r="G684" s="14"/>
      <c r="H684" s="9">
        <f>IF(ISBLANK(C684), "", SUMIFS(F$2:F684, C$2:C684, C684) - SUMIFS(G$2:G684, C$2:C684, C684))</f>
        <v>0</v>
      </c>
    </row>
    <row r="685" spans="1:8" ht="18" customHeight="1" x14ac:dyDescent="0.55000000000000004">
      <c r="A685" s="11"/>
      <c r="C685" s="12" t="str">
        <f>IF(ISBLANK(B685), "", INDEX('কাস্টমার তালিকা'!$A$4:$A$305, MATCH(B685, 'কাস্টমার তালিকা'!$B$4:$B$305, 0)))</f>
        <v/>
      </c>
      <c r="D685" s="8"/>
      <c r="E685" s="8"/>
      <c r="F685" s="13"/>
      <c r="G685" s="14"/>
      <c r="H685" s="9">
        <f>IF(ISBLANK(C685), "", SUMIFS(F$2:F685, C$2:C685, C685) - SUMIFS(G$2:G685, C$2:C685, C685))</f>
        <v>0</v>
      </c>
    </row>
    <row r="686" spans="1:8" ht="18" customHeight="1" x14ac:dyDescent="0.55000000000000004">
      <c r="A686" s="11"/>
      <c r="C686" s="12" t="str">
        <f>IF(ISBLANK(B686), "", INDEX('কাস্টমার তালিকা'!$A$4:$A$305, MATCH(B686, 'কাস্টমার তালিকা'!$B$4:$B$305, 0)))</f>
        <v/>
      </c>
      <c r="D686" s="8"/>
      <c r="E686" s="8"/>
      <c r="F686" s="13"/>
      <c r="G686" s="14"/>
      <c r="H686" s="9">
        <f>IF(ISBLANK(C686), "", SUMIFS(F$2:F686, C$2:C686, C686) - SUMIFS(G$2:G686, C$2:C686, C686))</f>
        <v>0</v>
      </c>
    </row>
    <row r="687" spans="1:8" ht="18" customHeight="1" x14ac:dyDescent="0.55000000000000004">
      <c r="A687" s="11"/>
      <c r="C687" s="12" t="str">
        <f>IF(ISBLANK(B687), "", INDEX('কাস্টমার তালিকা'!$A$4:$A$305, MATCH(B687, 'কাস্টমার তালিকা'!$B$4:$B$305, 0)))</f>
        <v/>
      </c>
      <c r="D687" s="8"/>
      <c r="E687" s="8"/>
      <c r="F687" s="13"/>
      <c r="G687" s="14"/>
      <c r="H687" s="9">
        <f>IF(ISBLANK(C687), "", SUMIFS(F$2:F687, C$2:C687, C687) - SUMIFS(G$2:G687, C$2:C687, C687))</f>
        <v>0</v>
      </c>
    </row>
    <row r="688" spans="1:8" ht="18" customHeight="1" x14ac:dyDescent="0.55000000000000004">
      <c r="A688" s="11"/>
      <c r="C688" s="12" t="str">
        <f>IF(ISBLANK(B688), "", INDEX('কাস্টমার তালিকা'!$A$4:$A$305, MATCH(B688, 'কাস্টমার তালিকা'!$B$4:$B$305, 0)))</f>
        <v/>
      </c>
      <c r="D688" s="8"/>
      <c r="E688" s="8"/>
      <c r="F688" s="13"/>
      <c r="G688" s="14"/>
      <c r="H688" s="9">
        <f>IF(ISBLANK(C688), "", SUMIFS(F$2:F688, C$2:C688, C688) - SUMIFS(G$2:G688, C$2:C688, C688))</f>
        <v>0</v>
      </c>
    </row>
    <row r="689" spans="1:8" ht="18" customHeight="1" x14ac:dyDescent="0.55000000000000004">
      <c r="A689" s="11"/>
      <c r="C689" s="12" t="str">
        <f>IF(ISBLANK(B689), "", INDEX('কাস্টমার তালিকা'!$A$4:$A$305, MATCH(B689, 'কাস্টমার তালিকা'!$B$4:$B$305, 0)))</f>
        <v/>
      </c>
      <c r="D689" s="8"/>
      <c r="E689" s="8"/>
      <c r="F689" s="13"/>
      <c r="G689" s="14"/>
      <c r="H689" s="9">
        <f>IF(ISBLANK(C689), "", SUMIFS(F$2:F689, C$2:C689, C689) - SUMIFS(G$2:G689, C$2:C689, C689))</f>
        <v>0</v>
      </c>
    </row>
    <row r="690" spans="1:8" ht="18" customHeight="1" x14ac:dyDescent="0.55000000000000004">
      <c r="A690" s="11"/>
      <c r="C690" s="12" t="str">
        <f>IF(ISBLANK(B690), "", INDEX('কাস্টমার তালিকা'!$A$4:$A$305, MATCH(B690, 'কাস্টমার তালিকা'!$B$4:$B$305, 0)))</f>
        <v/>
      </c>
      <c r="D690" s="8"/>
      <c r="E690" s="8"/>
      <c r="F690" s="13"/>
      <c r="G690" s="14"/>
      <c r="H690" s="9">
        <f>IF(ISBLANK(C690), "", SUMIFS(F$2:F690, C$2:C690, C690) - SUMIFS(G$2:G690, C$2:C690, C690))</f>
        <v>0</v>
      </c>
    </row>
    <row r="691" spans="1:8" ht="18" customHeight="1" x14ac:dyDescent="0.55000000000000004">
      <c r="A691" s="11"/>
      <c r="C691" s="12" t="str">
        <f>IF(ISBLANK(B691), "", INDEX('কাস্টমার তালিকা'!$A$4:$A$305, MATCH(B691, 'কাস্টমার তালিকা'!$B$4:$B$305, 0)))</f>
        <v/>
      </c>
      <c r="D691" s="8"/>
      <c r="E691" s="8"/>
      <c r="F691" s="13"/>
      <c r="G691" s="14"/>
      <c r="H691" s="9">
        <f>IF(ISBLANK(C691), "", SUMIFS(F$2:F691, C$2:C691, C691) - SUMIFS(G$2:G691, C$2:C691, C691))</f>
        <v>0</v>
      </c>
    </row>
    <row r="692" spans="1:8" ht="18" customHeight="1" x14ac:dyDescent="0.55000000000000004">
      <c r="A692" s="11"/>
      <c r="C692" s="12" t="str">
        <f>IF(ISBLANK(B692), "", INDEX('কাস্টমার তালিকা'!$A$4:$A$305, MATCH(B692, 'কাস্টমার তালিকা'!$B$4:$B$305, 0)))</f>
        <v/>
      </c>
      <c r="D692" s="8"/>
      <c r="E692" s="8"/>
      <c r="F692" s="13"/>
      <c r="G692" s="14"/>
      <c r="H692" s="9">
        <f>IF(ISBLANK(C692), "", SUMIFS(F$2:F692, C$2:C692, C692) - SUMIFS(G$2:G692, C$2:C692, C692))</f>
        <v>0</v>
      </c>
    </row>
    <row r="693" spans="1:8" ht="18" customHeight="1" x14ac:dyDescent="0.55000000000000004">
      <c r="A693" s="11"/>
      <c r="C693" s="12" t="str">
        <f>IF(ISBLANK(B693), "", INDEX('কাস্টমার তালিকা'!$A$4:$A$305, MATCH(B693, 'কাস্টমার তালিকা'!$B$4:$B$305, 0)))</f>
        <v/>
      </c>
      <c r="D693" s="8"/>
      <c r="E693" s="8"/>
      <c r="F693" s="13"/>
      <c r="G693" s="14"/>
      <c r="H693" s="9">
        <f>IF(ISBLANK(C693), "", SUMIFS(F$2:F693, C$2:C693, C693) - SUMIFS(G$2:G693, C$2:C693, C693))</f>
        <v>0</v>
      </c>
    </row>
    <row r="694" spans="1:8" ht="18" customHeight="1" x14ac:dyDescent="0.55000000000000004">
      <c r="A694" s="11"/>
      <c r="C694" s="12" t="str">
        <f>IF(ISBLANK(B694), "", INDEX('কাস্টমার তালিকা'!$A$4:$A$305, MATCH(B694, 'কাস্টমার তালিকা'!$B$4:$B$305, 0)))</f>
        <v/>
      </c>
      <c r="D694" s="8"/>
      <c r="E694" s="8"/>
      <c r="F694" s="13"/>
      <c r="G694" s="14"/>
      <c r="H694" s="9">
        <f>IF(ISBLANK(C694), "", SUMIFS(F$2:F694, C$2:C694, C694) - SUMIFS(G$2:G694, C$2:C694, C694))</f>
        <v>0</v>
      </c>
    </row>
    <row r="695" spans="1:8" ht="18" customHeight="1" x14ac:dyDescent="0.55000000000000004">
      <c r="A695" s="11"/>
      <c r="C695" s="12" t="str">
        <f>IF(ISBLANK(B695), "", INDEX('কাস্টমার তালিকা'!$A$4:$A$305, MATCH(B695, 'কাস্টমার তালিকা'!$B$4:$B$305, 0)))</f>
        <v/>
      </c>
      <c r="D695" s="8"/>
      <c r="E695" s="8"/>
      <c r="F695" s="13"/>
      <c r="G695" s="14"/>
      <c r="H695" s="9">
        <f>IF(ISBLANK(C695), "", SUMIFS(F$2:F695, C$2:C695, C695) - SUMIFS(G$2:G695, C$2:C695, C695))</f>
        <v>0</v>
      </c>
    </row>
    <row r="696" spans="1:8" ht="18" customHeight="1" x14ac:dyDescent="0.55000000000000004">
      <c r="A696" s="11"/>
      <c r="C696" s="12" t="str">
        <f>IF(ISBLANK(B696), "", INDEX('কাস্টমার তালিকা'!$A$4:$A$305, MATCH(B696, 'কাস্টমার তালিকা'!$B$4:$B$305, 0)))</f>
        <v/>
      </c>
      <c r="D696" s="8"/>
      <c r="E696" s="8"/>
      <c r="F696" s="13"/>
      <c r="G696" s="14"/>
      <c r="H696" s="9">
        <f>IF(ISBLANK(C696), "", SUMIFS(F$2:F696, C$2:C696, C696) - SUMIFS(G$2:G696, C$2:C696, C696))</f>
        <v>0</v>
      </c>
    </row>
    <row r="697" spans="1:8" ht="18" customHeight="1" x14ac:dyDescent="0.55000000000000004">
      <c r="A697" s="11"/>
      <c r="C697" s="12" t="str">
        <f>IF(ISBLANK(B697), "", INDEX('কাস্টমার তালিকা'!$A$4:$A$305, MATCH(B697, 'কাস্টমার তালিকা'!$B$4:$B$305, 0)))</f>
        <v/>
      </c>
      <c r="D697" s="8"/>
      <c r="E697" s="8"/>
      <c r="F697" s="13"/>
      <c r="G697" s="14"/>
      <c r="H697" s="9">
        <f>IF(ISBLANK(C697), "", SUMIFS(F$2:F697, C$2:C697, C697) - SUMIFS(G$2:G697, C$2:C697, C697))</f>
        <v>0</v>
      </c>
    </row>
    <row r="698" spans="1:8" ht="18" customHeight="1" x14ac:dyDescent="0.55000000000000004">
      <c r="A698" s="11"/>
      <c r="C698" s="12" t="str">
        <f>IF(ISBLANK(B698), "", INDEX('কাস্টমার তালিকা'!$A$4:$A$305, MATCH(B698, 'কাস্টমার তালিকা'!$B$4:$B$305, 0)))</f>
        <v/>
      </c>
      <c r="D698" s="8"/>
      <c r="E698" s="8"/>
      <c r="F698" s="13"/>
      <c r="G698" s="14"/>
      <c r="H698" s="9">
        <f>IF(ISBLANK(C698), "", SUMIFS(F$2:F698, C$2:C698, C698) - SUMIFS(G$2:G698, C$2:C698, C698))</f>
        <v>0</v>
      </c>
    </row>
    <row r="699" spans="1:8" ht="18" customHeight="1" x14ac:dyDescent="0.55000000000000004">
      <c r="A699" s="11"/>
      <c r="C699" s="12" t="str">
        <f>IF(ISBLANK(B699), "", INDEX('কাস্টমার তালিকা'!$A$4:$A$305, MATCH(B699, 'কাস্টমার তালিকা'!$B$4:$B$305, 0)))</f>
        <v/>
      </c>
      <c r="D699" s="8"/>
      <c r="E699" s="8"/>
      <c r="F699" s="13"/>
      <c r="G699" s="14"/>
      <c r="H699" s="9">
        <f>IF(ISBLANK(C699), "", SUMIFS(F$2:F699, C$2:C699, C699) - SUMIFS(G$2:G699, C$2:C699, C699))</f>
        <v>0</v>
      </c>
    </row>
    <row r="700" spans="1:8" ht="18" customHeight="1" x14ac:dyDescent="0.55000000000000004">
      <c r="A700" s="11"/>
      <c r="C700" s="12" t="str">
        <f>IF(ISBLANK(B700), "", INDEX('কাস্টমার তালিকা'!$A$4:$A$305, MATCH(B700, 'কাস্টমার তালিকা'!$B$4:$B$305, 0)))</f>
        <v/>
      </c>
      <c r="D700" s="8"/>
      <c r="E700" s="8"/>
      <c r="F700" s="13"/>
      <c r="G700" s="14"/>
      <c r="H700" s="9">
        <f>IF(ISBLANK(C700), "", SUMIFS(F$2:F700, C$2:C700, C700) - SUMIFS(G$2:G700, C$2:C700, C700))</f>
        <v>0</v>
      </c>
    </row>
    <row r="701" spans="1:8" ht="18" customHeight="1" x14ac:dyDescent="0.55000000000000004">
      <c r="A701" s="11"/>
      <c r="C701" s="12" t="str">
        <f>IF(ISBLANK(B701), "", INDEX('কাস্টমার তালিকা'!$A$4:$A$305, MATCH(B701, 'কাস্টমার তালিকা'!$B$4:$B$305, 0)))</f>
        <v/>
      </c>
      <c r="D701" s="8"/>
      <c r="E701" s="8"/>
      <c r="F701" s="13"/>
      <c r="G701" s="14"/>
      <c r="H701" s="9">
        <f>IF(ISBLANK(C701), "", SUMIFS(F$2:F701, C$2:C701, C701) - SUMIFS(G$2:G701, C$2:C701, C701))</f>
        <v>0</v>
      </c>
    </row>
    <row r="702" spans="1:8" ht="18" customHeight="1" x14ac:dyDescent="0.55000000000000004">
      <c r="A702" s="11"/>
      <c r="C702" s="12" t="str">
        <f>IF(ISBLANK(B702), "", INDEX('কাস্টমার তালিকা'!$A$4:$A$305, MATCH(B702, 'কাস্টমার তালিকা'!$B$4:$B$305, 0)))</f>
        <v/>
      </c>
      <c r="D702" s="8"/>
      <c r="E702" s="8"/>
      <c r="F702" s="13"/>
      <c r="G702" s="14"/>
      <c r="H702" s="9">
        <f>IF(ISBLANK(C702), "", SUMIFS(F$2:F702, C$2:C702, C702) - SUMIFS(G$2:G702, C$2:C702, C702))</f>
        <v>0</v>
      </c>
    </row>
    <row r="703" spans="1:8" ht="18" customHeight="1" x14ac:dyDescent="0.55000000000000004">
      <c r="A703" s="11"/>
      <c r="C703" s="12" t="str">
        <f>IF(ISBLANK(B703), "", INDEX('কাস্টমার তালিকা'!$A$4:$A$305, MATCH(B703, 'কাস্টমার তালিকা'!$B$4:$B$305, 0)))</f>
        <v/>
      </c>
      <c r="D703" s="8"/>
      <c r="E703" s="8"/>
      <c r="F703" s="13"/>
      <c r="G703" s="14"/>
      <c r="H703" s="9">
        <f>IF(ISBLANK(C703), "", SUMIFS(F$2:F703, C$2:C703, C703) - SUMIFS(G$2:G703, C$2:C703, C703))</f>
        <v>0</v>
      </c>
    </row>
    <row r="704" spans="1:8" ht="18" customHeight="1" x14ac:dyDescent="0.55000000000000004">
      <c r="A704" s="11"/>
      <c r="C704" s="12" t="str">
        <f>IF(ISBLANK(B704), "", INDEX('কাস্টমার তালিকা'!$A$4:$A$305, MATCH(B704, 'কাস্টমার তালিকা'!$B$4:$B$305, 0)))</f>
        <v/>
      </c>
      <c r="D704" s="8"/>
      <c r="E704" s="8"/>
      <c r="F704" s="13"/>
      <c r="G704" s="14"/>
      <c r="H704" s="9">
        <f>IF(ISBLANK(C704), "", SUMIFS(F$2:F704, C$2:C704, C704) - SUMIFS(G$2:G704, C$2:C704, C704))</f>
        <v>0</v>
      </c>
    </row>
    <row r="705" spans="1:8" ht="18" customHeight="1" x14ac:dyDescent="0.55000000000000004">
      <c r="A705" s="11"/>
      <c r="C705" s="12" t="str">
        <f>IF(ISBLANK(B705), "", INDEX('কাস্টমার তালিকা'!$A$4:$A$305, MATCH(B705, 'কাস্টমার তালিকা'!$B$4:$B$305, 0)))</f>
        <v/>
      </c>
      <c r="D705" s="8"/>
      <c r="E705" s="8"/>
      <c r="F705" s="13"/>
      <c r="G705" s="14"/>
      <c r="H705" s="9">
        <f>IF(ISBLANK(C705), "", SUMIFS(F$2:F705, C$2:C705, C705) - SUMIFS(G$2:G705, C$2:C705, C705))</f>
        <v>0</v>
      </c>
    </row>
    <row r="706" spans="1:8" ht="18" customHeight="1" x14ac:dyDescent="0.55000000000000004">
      <c r="A706" s="11"/>
      <c r="C706" s="12" t="str">
        <f>IF(ISBLANK(B706), "", INDEX('কাস্টমার তালিকা'!$A$4:$A$305, MATCH(B706, 'কাস্টমার তালিকা'!$B$4:$B$305, 0)))</f>
        <v/>
      </c>
      <c r="D706" s="8"/>
      <c r="E706" s="8"/>
      <c r="F706" s="13"/>
      <c r="G706" s="14"/>
      <c r="H706" s="9">
        <f>IF(ISBLANK(C706), "", SUMIFS(F$2:F706, C$2:C706, C706) - SUMIFS(G$2:G706, C$2:C706, C706))</f>
        <v>0</v>
      </c>
    </row>
    <row r="707" spans="1:8" ht="18" customHeight="1" x14ac:dyDescent="0.55000000000000004">
      <c r="A707" s="11"/>
      <c r="C707" s="12" t="str">
        <f>IF(ISBLANK(B707), "", INDEX('কাস্টমার তালিকা'!$A$4:$A$305, MATCH(B707, 'কাস্টমার তালিকা'!$B$4:$B$305, 0)))</f>
        <v/>
      </c>
      <c r="D707" s="8"/>
      <c r="E707" s="8"/>
      <c r="F707" s="13"/>
      <c r="G707" s="14"/>
      <c r="H707" s="9">
        <f>IF(ISBLANK(C707), "", SUMIFS(F$2:F707, C$2:C707, C707) - SUMIFS(G$2:G707, C$2:C707, C707))</f>
        <v>0</v>
      </c>
    </row>
    <row r="708" spans="1:8" ht="18" customHeight="1" x14ac:dyDescent="0.55000000000000004">
      <c r="A708" s="11"/>
      <c r="C708" s="12" t="str">
        <f>IF(ISBLANK(B708), "", INDEX('কাস্টমার তালিকা'!$A$4:$A$305, MATCH(B708, 'কাস্টমার তালিকা'!$B$4:$B$305, 0)))</f>
        <v/>
      </c>
      <c r="D708" s="8"/>
      <c r="E708" s="8"/>
      <c r="F708" s="13"/>
      <c r="G708" s="14"/>
      <c r="H708" s="9">
        <f>IF(ISBLANK(C708), "", SUMIFS(F$2:F708, C$2:C708, C708) - SUMIFS(G$2:G708, C$2:C708, C708))</f>
        <v>0</v>
      </c>
    </row>
    <row r="709" spans="1:8" ht="18" customHeight="1" x14ac:dyDescent="0.55000000000000004">
      <c r="A709" s="11"/>
      <c r="C709" s="12" t="str">
        <f>IF(ISBLANK(B709), "", INDEX('কাস্টমার তালিকা'!$A$4:$A$305, MATCH(B709, 'কাস্টমার তালিকা'!$B$4:$B$305, 0)))</f>
        <v/>
      </c>
      <c r="D709" s="8"/>
      <c r="E709" s="8"/>
      <c r="F709" s="13"/>
      <c r="G709" s="14"/>
      <c r="H709" s="9">
        <f>IF(ISBLANK(C709), "", SUMIFS(F$2:F709, C$2:C709, C709) - SUMIFS(G$2:G709, C$2:C709, C709))</f>
        <v>0</v>
      </c>
    </row>
    <row r="710" spans="1:8" ht="18" customHeight="1" x14ac:dyDescent="0.55000000000000004">
      <c r="A710" s="11"/>
      <c r="C710" s="12" t="str">
        <f>IF(ISBLANK(B710), "", INDEX('কাস্টমার তালিকা'!$A$4:$A$305, MATCH(B710, 'কাস্টমার তালিকা'!$B$4:$B$305, 0)))</f>
        <v/>
      </c>
      <c r="D710" s="8"/>
      <c r="E710" s="8"/>
      <c r="F710" s="13"/>
      <c r="G710" s="14"/>
      <c r="H710" s="9">
        <f>IF(ISBLANK(C710), "", SUMIFS(F$2:F710, C$2:C710, C710) - SUMIFS(G$2:G710, C$2:C710, C710))</f>
        <v>0</v>
      </c>
    </row>
    <row r="711" spans="1:8" ht="18" customHeight="1" x14ac:dyDescent="0.55000000000000004">
      <c r="A711" s="11"/>
      <c r="C711" s="12" t="str">
        <f>IF(ISBLANK(B711), "", INDEX('কাস্টমার তালিকা'!$A$4:$A$305, MATCH(B711, 'কাস্টমার তালিকা'!$B$4:$B$305, 0)))</f>
        <v/>
      </c>
      <c r="D711" s="8"/>
      <c r="E711" s="8"/>
      <c r="F711" s="13"/>
      <c r="G711" s="14"/>
      <c r="H711" s="9">
        <f>IF(ISBLANK(C711), "", SUMIFS(F$2:F711, C$2:C711, C711) - SUMIFS(G$2:G711, C$2:C711, C711))</f>
        <v>0</v>
      </c>
    </row>
    <row r="712" spans="1:8" ht="18" customHeight="1" x14ac:dyDescent="0.55000000000000004">
      <c r="A712" s="11"/>
      <c r="C712" s="12" t="str">
        <f>IF(ISBLANK(B712), "", INDEX('কাস্টমার তালিকা'!$A$4:$A$305, MATCH(B712, 'কাস্টমার তালিকা'!$B$4:$B$305, 0)))</f>
        <v/>
      </c>
      <c r="D712" s="8"/>
      <c r="E712" s="8"/>
      <c r="F712" s="13"/>
      <c r="G712" s="14"/>
      <c r="H712" s="9">
        <f>IF(ISBLANK(C712), "", SUMIFS(F$2:F712, C$2:C712, C712) - SUMIFS(G$2:G712, C$2:C712, C712))</f>
        <v>0</v>
      </c>
    </row>
    <row r="713" spans="1:8" ht="18" customHeight="1" x14ac:dyDescent="0.55000000000000004">
      <c r="A713" s="11"/>
      <c r="C713" s="12" t="str">
        <f>IF(ISBLANK(B713), "", INDEX('কাস্টমার তালিকা'!$A$4:$A$305, MATCH(B713, 'কাস্টমার তালিকা'!$B$4:$B$305, 0)))</f>
        <v/>
      </c>
      <c r="D713" s="8"/>
      <c r="E713" s="8"/>
      <c r="F713" s="13"/>
      <c r="G713" s="14"/>
      <c r="H713" s="9">
        <f>IF(ISBLANK(C713), "", SUMIFS(F$2:F713, C$2:C713, C713) - SUMIFS(G$2:G713, C$2:C713, C713))</f>
        <v>0</v>
      </c>
    </row>
    <row r="714" spans="1:8" ht="18" customHeight="1" x14ac:dyDescent="0.55000000000000004">
      <c r="A714" s="11"/>
      <c r="C714" s="12" t="str">
        <f>IF(ISBLANK(B714), "", INDEX('কাস্টমার তালিকা'!$A$4:$A$305, MATCH(B714, 'কাস্টমার তালিকা'!$B$4:$B$305, 0)))</f>
        <v/>
      </c>
      <c r="D714" s="8"/>
      <c r="E714" s="8"/>
      <c r="F714" s="13"/>
      <c r="G714" s="14"/>
      <c r="H714" s="9">
        <f>IF(ISBLANK(C714), "", SUMIFS(F$2:F714, C$2:C714, C714) - SUMIFS(G$2:G714, C$2:C714, C714))</f>
        <v>0</v>
      </c>
    </row>
    <row r="715" spans="1:8" ht="18" customHeight="1" x14ac:dyDescent="0.55000000000000004">
      <c r="A715" s="11"/>
      <c r="C715" s="12" t="str">
        <f>IF(ISBLANK(B715), "", INDEX('কাস্টমার তালিকা'!$A$4:$A$305, MATCH(B715, 'কাস্টমার তালিকা'!$B$4:$B$305, 0)))</f>
        <v/>
      </c>
      <c r="D715" s="8"/>
      <c r="E715" s="8"/>
      <c r="F715" s="13"/>
      <c r="G715" s="14"/>
      <c r="H715" s="9">
        <f>IF(ISBLANK(C715), "", SUMIFS(F$2:F715, C$2:C715, C715) - SUMIFS(G$2:G715, C$2:C715, C715))</f>
        <v>0</v>
      </c>
    </row>
    <row r="716" spans="1:8" ht="18" customHeight="1" x14ac:dyDescent="0.55000000000000004">
      <c r="A716" s="11"/>
      <c r="C716" s="12" t="str">
        <f>IF(ISBLANK(B716), "", INDEX('কাস্টমার তালিকা'!$A$4:$A$305, MATCH(B716, 'কাস্টমার তালিকা'!$B$4:$B$305, 0)))</f>
        <v/>
      </c>
      <c r="D716" s="8"/>
      <c r="E716" s="8"/>
      <c r="F716" s="13"/>
      <c r="G716" s="14"/>
      <c r="H716" s="9">
        <f>IF(ISBLANK(C716), "", SUMIFS(F$2:F716, C$2:C716, C716) - SUMIFS(G$2:G716, C$2:C716, C716))</f>
        <v>0</v>
      </c>
    </row>
    <row r="717" spans="1:8" ht="18" customHeight="1" x14ac:dyDescent="0.55000000000000004">
      <c r="A717" s="11"/>
      <c r="C717" s="12" t="str">
        <f>IF(ISBLANK(B717), "", INDEX('কাস্টমার তালিকা'!$A$4:$A$305, MATCH(B717, 'কাস্টমার তালিকা'!$B$4:$B$305, 0)))</f>
        <v/>
      </c>
      <c r="D717" s="8"/>
      <c r="E717" s="8"/>
      <c r="F717" s="13"/>
      <c r="G717" s="14"/>
      <c r="H717" s="9">
        <f>IF(ISBLANK(C717), "", SUMIFS(F$2:F717, C$2:C717, C717) - SUMIFS(G$2:G717, C$2:C717, C717))</f>
        <v>0</v>
      </c>
    </row>
    <row r="718" spans="1:8" ht="18" customHeight="1" x14ac:dyDescent="0.55000000000000004">
      <c r="A718" s="11"/>
      <c r="C718" s="12" t="str">
        <f>IF(ISBLANK(B718), "", INDEX('কাস্টমার তালিকা'!$A$4:$A$305, MATCH(B718, 'কাস্টমার তালিকা'!$B$4:$B$305, 0)))</f>
        <v/>
      </c>
      <c r="D718" s="8"/>
      <c r="E718" s="8"/>
      <c r="F718" s="13"/>
      <c r="G718" s="14"/>
      <c r="H718" s="9">
        <f>IF(ISBLANK(C718), "", SUMIFS(F$2:F718, C$2:C718, C718) - SUMIFS(G$2:G718, C$2:C718, C718))</f>
        <v>0</v>
      </c>
    </row>
    <row r="719" spans="1:8" ht="18" customHeight="1" x14ac:dyDescent="0.55000000000000004">
      <c r="A719" s="11"/>
      <c r="C719" s="12" t="str">
        <f>IF(ISBLANK(B719), "", INDEX('কাস্টমার তালিকা'!$A$4:$A$305, MATCH(B719, 'কাস্টমার তালিকা'!$B$4:$B$305, 0)))</f>
        <v/>
      </c>
      <c r="D719" s="8"/>
      <c r="E719" s="8"/>
      <c r="F719" s="13"/>
      <c r="G719" s="14"/>
      <c r="H719" s="9">
        <f>IF(ISBLANK(C719), "", SUMIFS(F$2:F719, C$2:C719, C719) - SUMIFS(G$2:G719, C$2:C719, C719))</f>
        <v>0</v>
      </c>
    </row>
    <row r="720" spans="1:8" ht="18" customHeight="1" x14ac:dyDescent="0.55000000000000004">
      <c r="A720" s="11"/>
      <c r="C720" s="12" t="str">
        <f>IF(ISBLANK(B720), "", INDEX('কাস্টমার তালিকা'!$A$4:$A$305, MATCH(B720, 'কাস্টমার তালিকা'!$B$4:$B$305, 0)))</f>
        <v/>
      </c>
      <c r="D720" s="8"/>
      <c r="E720" s="8"/>
      <c r="F720" s="13"/>
      <c r="G720" s="14"/>
      <c r="H720" s="9">
        <f>IF(ISBLANK(C720), "", SUMIFS(F$2:F720, C$2:C720, C720) - SUMIFS(G$2:G720, C$2:C720, C720))</f>
        <v>0</v>
      </c>
    </row>
    <row r="721" spans="1:8" ht="18" customHeight="1" x14ac:dyDescent="0.55000000000000004">
      <c r="A721" s="11"/>
      <c r="C721" s="12" t="str">
        <f>IF(ISBLANK(B721), "", INDEX('কাস্টমার তালিকা'!$A$4:$A$305, MATCH(B721, 'কাস্টমার তালিকা'!$B$4:$B$305, 0)))</f>
        <v/>
      </c>
      <c r="D721" s="8"/>
      <c r="E721" s="8"/>
      <c r="F721" s="13"/>
      <c r="G721" s="14"/>
      <c r="H721" s="9">
        <f>IF(ISBLANK(C721), "", SUMIFS(F$2:F721, C$2:C721, C721) - SUMIFS(G$2:G721, C$2:C721, C721))</f>
        <v>0</v>
      </c>
    </row>
    <row r="722" spans="1:8" ht="18" customHeight="1" x14ac:dyDescent="0.55000000000000004">
      <c r="A722" s="11"/>
      <c r="C722" s="12" t="str">
        <f>IF(ISBLANK(B722), "", INDEX('কাস্টমার তালিকা'!$A$4:$A$305, MATCH(B722, 'কাস্টমার তালিকা'!$B$4:$B$305, 0)))</f>
        <v/>
      </c>
      <c r="D722" s="8"/>
      <c r="E722" s="8"/>
      <c r="F722" s="13"/>
      <c r="G722" s="14"/>
      <c r="H722" s="9">
        <f>IF(ISBLANK(C722), "", SUMIFS(F$2:F722, C$2:C722, C722) - SUMIFS(G$2:G722, C$2:C722, C722))</f>
        <v>0</v>
      </c>
    </row>
    <row r="723" spans="1:8" ht="18" customHeight="1" x14ac:dyDescent="0.55000000000000004">
      <c r="A723" s="11"/>
      <c r="C723" s="12" t="str">
        <f>IF(ISBLANK(B723), "", INDEX('কাস্টমার তালিকা'!$A$4:$A$305, MATCH(B723, 'কাস্টমার তালিকা'!$B$4:$B$305, 0)))</f>
        <v/>
      </c>
      <c r="D723" s="8"/>
      <c r="E723" s="8"/>
      <c r="F723" s="13"/>
      <c r="G723" s="14"/>
      <c r="H723" s="9">
        <f>IF(ISBLANK(C723), "", SUMIFS(F$2:F723, C$2:C723, C723) - SUMIFS(G$2:G723, C$2:C723, C723))</f>
        <v>0</v>
      </c>
    </row>
    <row r="724" spans="1:8" ht="18" customHeight="1" x14ac:dyDescent="0.55000000000000004">
      <c r="A724" s="11"/>
      <c r="C724" s="12" t="str">
        <f>IF(ISBLANK(B724), "", INDEX('কাস্টমার তালিকা'!$A$4:$A$305, MATCH(B724, 'কাস্টমার তালিকা'!$B$4:$B$305, 0)))</f>
        <v/>
      </c>
      <c r="D724" s="8"/>
      <c r="E724" s="8"/>
      <c r="F724" s="13"/>
      <c r="G724" s="14"/>
      <c r="H724" s="9">
        <f>IF(ISBLANK(C724), "", SUMIFS(F$2:F724, C$2:C724, C724) - SUMIFS(G$2:G724, C$2:C724, C724))</f>
        <v>0</v>
      </c>
    </row>
    <row r="725" spans="1:8" ht="18" customHeight="1" x14ac:dyDescent="0.55000000000000004">
      <c r="A725" s="11"/>
      <c r="C725" s="12" t="str">
        <f>IF(ISBLANK(B725), "", INDEX('কাস্টমার তালিকা'!$A$4:$A$305, MATCH(B725, 'কাস্টমার তালিকা'!$B$4:$B$305, 0)))</f>
        <v/>
      </c>
      <c r="D725" s="8"/>
      <c r="E725" s="8"/>
      <c r="F725" s="13"/>
      <c r="G725" s="14"/>
      <c r="H725" s="9">
        <f>IF(ISBLANK(C725), "", SUMIFS(F$2:F725, C$2:C725, C725) - SUMIFS(G$2:G725, C$2:C725, C725))</f>
        <v>0</v>
      </c>
    </row>
    <row r="726" spans="1:8" ht="18" customHeight="1" x14ac:dyDescent="0.55000000000000004">
      <c r="A726" s="11"/>
      <c r="C726" s="12" t="str">
        <f>IF(ISBLANK(B726), "", INDEX('কাস্টমার তালিকা'!$A$4:$A$305, MATCH(B726, 'কাস্টমার তালিকা'!$B$4:$B$305, 0)))</f>
        <v/>
      </c>
      <c r="D726" s="8"/>
      <c r="E726" s="8"/>
      <c r="F726" s="13"/>
      <c r="G726" s="14"/>
      <c r="H726" s="9">
        <f>IF(ISBLANK(C726), "", SUMIFS(F$2:F726, C$2:C726, C726) - SUMIFS(G$2:G726, C$2:C726, C726))</f>
        <v>0</v>
      </c>
    </row>
    <row r="727" spans="1:8" ht="18" customHeight="1" x14ac:dyDescent="0.55000000000000004">
      <c r="A727" s="11"/>
      <c r="C727" s="12" t="str">
        <f>IF(ISBLANK(B727), "", INDEX('কাস্টমার তালিকা'!$A$4:$A$305, MATCH(B727, 'কাস্টমার তালিকা'!$B$4:$B$305, 0)))</f>
        <v/>
      </c>
      <c r="D727" s="8"/>
      <c r="E727" s="8"/>
      <c r="F727" s="13"/>
      <c r="G727" s="14"/>
      <c r="H727" s="9">
        <f>IF(ISBLANK(C727), "", SUMIFS(F$2:F727, C$2:C727, C727) - SUMIFS(G$2:G727, C$2:C727, C727))</f>
        <v>0</v>
      </c>
    </row>
    <row r="728" spans="1:8" ht="18" customHeight="1" x14ac:dyDescent="0.55000000000000004">
      <c r="A728" s="11"/>
      <c r="C728" s="12" t="str">
        <f>IF(ISBLANK(B728), "", INDEX('কাস্টমার তালিকা'!$A$4:$A$305, MATCH(B728, 'কাস্টমার তালিকা'!$B$4:$B$305, 0)))</f>
        <v/>
      </c>
      <c r="D728" s="8"/>
      <c r="E728" s="8"/>
      <c r="F728" s="13"/>
      <c r="G728" s="14"/>
      <c r="H728" s="9">
        <f>IF(ISBLANK(C728), "", SUMIFS(F$2:F728, C$2:C728, C728) - SUMIFS(G$2:G728, C$2:C728, C728))</f>
        <v>0</v>
      </c>
    </row>
    <row r="729" spans="1:8" ht="18" customHeight="1" x14ac:dyDescent="0.55000000000000004">
      <c r="A729" s="11"/>
      <c r="C729" s="12" t="str">
        <f>IF(ISBLANK(B729), "", INDEX('কাস্টমার তালিকা'!$A$4:$A$305, MATCH(B729, 'কাস্টমার তালিকা'!$B$4:$B$305, 0)))</f>
        <v/>
      </c>
      <c r="D729" s="8"/>
      <c r="E729" s="8"/>
      <c r="F729" s="13"/>
      <c r="G729" s="14"/>
      <c r="H729" s="9">
        <f>IF(ISBLANK(C729), "", SUMIFS(F$2:F729, C$2:C729, C729) - SUMIFS(G$2:G729, C$2:C729, C729))</f>
        <v>0</v>
      </c>
    </row>
    <row r="730" spans="1:8" ht="18" customHeight="1" x14ac:dyDescent="0.55000000000000004">
      <c r="A730" s="11"/>
      <c r="C730" s="12" t="str">
        <f>IF(ISBLANK(B730), "", INDEX('কাস্টমার তালিকা'!$A$4:$A$305, MATCH(B730, 'কাস্টমার তালিকা'!$B$4:$B$305, 0)))</f>
        <v/>
      </c>
      <c r="D730" s="8"/>
      <c r="E730" s="8"/>
      <c r="F730" s="13"/>
      <c r="G730" s="14"/>
      <c r="H730" s="9">
        <f>IF(ISBLANK(C730), "", SUMIFS(F$2:F730, C$2:C730, C730) - SUMIFS(G$2:G730, C$2:C730, C730))</f>
        <v>0</v>
      </c>
    </row>
    <row r="731" spans="1:8" ht="18" customHeight="1" x14ac:dyDescent="0.55000000000000004">
      <c r="A731" s="11"/>
      <c r="C731" s="12" t="str">
        <f>IF(ISBLANK(B731), "", INDEX('কাস্টমার তালিকা'!$A$4:$A$305, MATCH(B731, 'কাস্টমার তালিকা'!$B$4:$B$305, 0)))</f>
        <v/>
      </c>
      <c r="D731" s="8"/>
      <c r="E731" s="8"/>
      <c r="F731" s="13"/>
      <c r="G731" s="14"/>
      <c r="H731" s="9">
        <f>IF(ISBLANK(C731), "", SUMIFS(F$2:F731, C$2:C731, C731) - SUMIFS(G$2:G731, C$2:C731, C731))</f>
        <v>0</v>
      </c>
    </row>
    <row r="732" spans="1:8" ht="18" customHeight="1" x14ac:dyDescent="0.55000000000000004">
      <c r="A732" s="11"/>
      <c r="C732" s="12" t="str">
        <f>IF(ISBLANK(B732), "", INDEX('কাস্টমার তালিকা'!$A$4:$A$305, MATCH(B732, 'কাস্টমার তালিকা'!$B$4:$B$305, 0)))</f>
        <v/>
      </c>
      <c r="D732" s="8"/>
      <c r="E732" s="8"/>
      <c r="F732" s="13"/>
      <c r="G732" s="14"/>
      <c r="H732" s="9">
        <f>IF(ISBLANK(C732), "", SUMIFS(F$2:F732, C$2:C732, C732) - SUMIFS(G$2:G732, C$2:C732, C732))</f>
        <v>0</v>
      </c>
    </row>
    <row r="733" spans="1:8" ht="18" customHeight="1" x14ac:dyDescent="0.55000000000000004">
      <c r="A733" s="11"/>
      <c r="C733" s="12" t="str">
        <f>IF(ISBLANK(B733), "", INDEX('কাস্টমার তালিকা'!$A$4:$A$305, MATCH(B733, 'কাস্টমার তালিকা'!$B$4:$B$305, 0)))</f>
        <v/>
      </c>
      <c r="D733" s="8"/>
      <c r="E733" s="8"/>
      <c r="F733" s="13"/>
      <c r="G733" s="14"/>
      <c r="H733" s="9">
        <f>IF(ISBLANK(C733), "", SUMIFS(F$2:F733, C$2:C733, C733) - SUMIFS(G$2:G733, C$2:C733, C733))</f>
        <v>0</v>
      </c>
    </row>
    <row r="734" spans="1:8" ht="18" customHeight="1" x14ac:dyDescent="0.55000000000000004">
      <c r="A734" s="11"/>
      <c r="C734" s="12" t="str">
        <f>IF(ISBLANK(B734), "", INDEX('কাস্টমার তালিকা'!$A$4:$A$305, MATCH(B734, 'কাস্টমার তালিকা'!$B$4:$B$305, 0)))</f>
        <v/>
      </c>
      <c r="D734" s="8"/>
      <c r="E734" s="8"/>
      <c r="F734" s="13"/>
      <c r="G734" s="14"/>
      <c r="H734" s="9">
        <f>IF(ISBLANK(C734), "", SUMIFS(F$2:F734, C$2:C734, C734) - SUMIFS(G$2:G734, C$2:C734, C734))</f>
        <v>0</v>
      </c>
    </row>
    <row r="735" spans="1:8" ht="18" customHeight="1" x14ac:dyDescent="0.55000000000000004">
      <c r="A735" s="11"/>
      <c r="C735" s="12" t="str">
        <f>IF(ISBLANK(B735), "", INDEX('কাস্টমার তালিকা'!$A$4:$A$305, MATCH(B735, 'কাস্টমার তালিকা'!$B$4:$B$305, 0)))</f>
        <v/>
      </c>
      <c r="D735" s="8"/>
      <c r="E735" s="8"/>
      <c r="F735" s="13"/>
      <c r="G735" s="14"/>
      <c r="H735" s="9">
        <f>IF(ISBLANK(C735), "", SUMIFS(F$2:F735, C$2:C735, C735) - SUMIFS(G$2:G735, C$2:C735, C735))</f>
        <v>0</v>
      </c>
    </row>
    <row r="736" spans="1:8" ht="18" customHeight="1" x14ac:dyDescent="0.55000000000000004">
      <c r="A736" s="11"/>
      <c r="C736" s="12" t="str">
        <f>IF(ISBLANK(B736), "", INDEX('কাস্টমার তালিকা'!$A$4:$A$305, MATCH(B736, 'কাস্টমার তালিকা'!$B$4:$B$305, 0)))</f>
        <v/>
      </c>
      <c r="D736" s="8"/>
      <c r="E736" s="8"/>
      <c r="F736" s="13"/>
      <c r="G736" s="14"/>
      <c r="H736" s="9">
        <f>IF(ISBLANK(C736), "", SUMIFS(F$2:F736, C$2:C736, C736) - SUMIFS(G$2:G736, C$2:C736, C736))</f>
        <v>0</v>
      </c>
    </row>
    <row r="737" spans="1:8" ht="18" customHeight="1" x14ac:dyDescent="0.55000000000000004">
      <c r="A737" s="11"/>
      <c r="C737" s="12" t="str">
        <f>IF(ISBLANK(B737), "", INDEX('কাস্টমার তালিকা'!$A$4:$A$305, MATCH(B737, 'কাস্টমার তালিকা'!$B$4:$B$305, 0)))</f>
        <v/>
      </c>
      <c r="D737" s="8"/>
      <c r="E737" s="8"/>
      <c r="F737" s="13"/>
      <c r="G737" s="14"/>
      <c r="H737" s="9">
        <f>IF(ISBLANK(C737), "", SUMIFS(F$2:F737, C$2:C737, C737) - SUMIFS(G$2:G737, C$2:C737, C737))</f>
        <v>0</v>
      </c>
    </row>
    <row r="738" spans="1:8" ht="18" customHeight="1" x14ac:dyDescent="0.55000000000000004">
      <c r="A738" s="11"/>
      <c r="C738" s="12" t="str">
        <f>IF(ISBLANK(B738), "", INDEX('কাস্টমার তালিকা'!$A$4:$A$305, MATCH(B738, 'কাস্টমার তালিকা'!$B$4:$B$305, 0)))</f>
        <v/>
      </c>
      <c r="D738" s="8"/>
      <c r="E738" s="8"/>
      <c r="F738" s="13"/>
      <c r="G738" s="14"/>
      <c r="H738" s="9">
        <f>IF(ISBLANK(C738), "", SUMIFS(F$2:F738, C$2:C738, C738) - SUMIFS(G$2:G738, C$2:C738, C738))</f>
        <v>0</v>
      </c>
    </row>
    <row r="739" spans="1:8" ht="18" customHeight="1" x14ac:dyDescent="0.55000000000000004">
      <c r="A739" s="11"/>
      <c r="C739" s="12" t="str">
        <f>IF(ISBLANK(B739), "", INDEX('কাস্টমার তালিকা'!$A$4:$A$305, MATCH(B739, 'কাস্টমার তালিকা'!$B$4:$B$305, 0)))</f>
        <v/>
      </c>
      <c r="D739" s="8"/>
      <c r="E739" s="8"/>
      <c r="F739" s="13"/>
      <c r="G739" s="14"/>
      <c r="H739" s="9">
        <f>IF(ISBLANK(C739), "", SUMIFS(F$2:F739, C$2:C739, C739) - SUMIFS(G$2:G739, C$2:C739, C739))</f>
        <v>0</v>
      </c>
    </row>
    <row r="740" spans="1:8" ht="18" customHeight="1" x14ac:dyDescent="0.55000000000000004">
      <c r="A740" s="11"/>
      <c r="C740" s="12" t="str">
        <f>IF(ISBLANK(B740), "", INDEX('কাস্টমার তালিকা'!$A$4:$A$305, MATCH(B740, 'কাস্টমার তালিকা'!$B$4:$B$305, 0)))</f>
        <v/>
      </c>
      <c r="D740" s="8"/>
      <c r="E740" s="8"/>
      <c r="F740" s="13"/>
      <c r="G740" s="14"/>
      <c r="H740" s="9">
        <f>IF(ISBLANK(C740), "", SUMIFS(F$2:F740, C$2:C740, C740) - SUMIFS(G$2:G740, C$2:C740, C740))</f>
        <v>0</v>
      </c>
    </row>
    <row r="741" spans="1:8" ht="18" customHeight="1" x14ac:dyDescent="0.55000000000000004">
      <c r="A741" s="11"/>
      <c r="C741" s="12" t="str">
        <f>IF(ISBLANK(B741), "", INDEX('কাস্টমার তালিকা'!$A$4:$A$305, MATCH(B741, 'কাস্টমার তালিকা'!$B$4:$B$305, 0)))</f>
        <v/>
      </c>
      <c r="D741" s="8"/>
      <c r="E741" s="8"/>
      <c r="F741" s="13"/>
      <c r="G741" s="14"/>
      <c r="H741" s="9">
        <f>IF(ISBLANK(C741), "", SUMIFS(F$2:F741, C$2:C741, C741) - SUMIFS(G$2:G741, C$2:C741, C741))</f>
        <v>0</v>
      </c>
    </row>
    <row r="742" spans="1:8" ht="18" customHeight="1" x14ac:dyDescent="0.55000000000000004">
      <c r="A742" s="11"/>
      <c r="C742" s="12" t="str">
        <f>IF(ISBLANK(B742), "", INDEX('কাস্টমার তালিকা'!$A$4:$A$305, MATCH(B742, 'কাস্টমার তালিকা'!$B$4:$B$305, 0)))</f>
        <v/>
      </c>
      <c r="D742" s="8"/>
      <c r="E742" s="8"/>
      <c r="F742" s="13"/>
      <c r="G742" s="14"/>
      <c r="H742" s="9">
        <f>IF(ISBLANK(C742), "", SUMIFS(F$2:F742, C$2:C742, C742) - SUMIFS(G$2:G742, C$2:C742, C742))</f>
        <v>0</v>
      </c>
    </row>
    <row r="743" spans="1:8" ht="18" customHeight="1" x14ac:dyDescent="0.55000000000000004">
      <c r="A743" s="11"/>
      <c r="C743" s="12" t="str">
        <f>IF(ISBLANK(B743), "", INDEX('কাস্টমার তালিকা'!$A$4:$A$305, MATCH(B743, 'কাস্টমার তালিকা'!$B$4:$B$305, 0)))</f>
        <v/>
      </c>
      <c r="D743" s="8"/>
      <c r="E743" s="8"/>
      <c r="F743" s="13"/>
      <c r="G743" s="14"/>
      <c r="H743" s="9">
        <f>IF(ISBLANK(C743), "", SUMIFS(F$2:F743, C$2:C743, C743) - SUMIFS(G$2:G743, C$2:C743, C743))</f>
        <v>0</v>
      </c>
    </row>
    <row r="744" spans="1:8" ht="18" customHeight="1" x14ac:dyDescent="0.55000000000000004">
      <c r="A744" s="11"/>
      <c r="C744" s="12" t="str">
        <f>IF(ISBLANK(B744), "", INDEX('কাস্টমার তালিকা'!$A$4:$A$305, MATCH(B744, 'কাস্টমার তালিকা'!$B$4:$B$305, 0)))</f>
        <v/>
      </c>
      <c r="D744" s="8"/>
      <c r="E744" s="8"/>
      <c r="F744" s="13"/>
      <c r="G744" s="14"/>
      <c r="H744" s="9">
        <f>IF(ISBLANK(C744), "", SUMIFS(F$2:F744, C$2:C744, C744) - SUMIFS(G$2:G744, C$2:C744, C744))</f>
        <v>0</v>
      </c>
    </row>
    <row r="745" spans="1:8" ht="18" customHeight="1" x14ac:dyDescent="0.55000000000000004">
      <c r="A745" s="11"/>
      <c r="C745" s="12" t="str">
        <f>IF(ISBLANK(B745), "", INDEX('কাস্টমার তালিকা'!$A$4:$A$305, MATCH(B745, 'কাস্টমার তালিকা'!$B$4:$B$305, 0)))</f>
        <v/>
      </c>
      <c r="D745" s="8"/>
      <c r="E745" s="8"/>
      <c r="F745" s="13"/>
      <c r="G745" s="14"/>
      <c r="H745" s="9">
        <f>IF(ISBLANK(C745), "", SUMIFS(F$2:F745, C$2:C745, C745) - SUMIFS(G$2:G745, C$2:C745, C745))</f>
        <v>0</v>
      </c>
    </row>
    <row r="746" spans="1:8" ht="18" customHeight="1" x14ac:dyDescent="0.55000000000000004">
      <c r="A746" s="11"/>
      <c r="C746" s="12" t="str">
        <f>IF(ISBLANK(B746), "", INDEX('কাস্টমার তালিকা'!$A$4:$A$305, MATCH(B746, 'কাস্টমার তালিকা'!$B$4:$B$305, 0)))</f>
        <v/>
      </c>
      <c r="D746" s="8"/>
      <c r="E746" s="8"/>
      <c r="F746" s="13"/>
      <c r="G746" s="14"/>
      <c r="H746" s="9">
        <f>IF(ISBLANK(C746), "", SUMIFS(F$2:F746, C$2:C746, C746) - SUMIFS(G$2:G746, C$2:C746, C746))</f>
        <v>0</v>
      </c>
    </row>
    <row r="747" spans="1:8" ht="18" customHeight="1" x14ac:dyDescent="0.55000000000000004">
      <c r="A747" s="11"/>
      <c r="C747" s="12" t="str">
        <f>IF(ISBLANK(B747), "", INDEX('কাস্টমার তালিকা'!$A$4:$A$305, MATCH(B747, 'কাস্টমার তালিকা'!$B$4:$B$305, 0)))</f>
        <v/>
      </c>
      <c r="D747" s="8"/>
      <c r="E747" s="8"/>
      <c r="F747" s="13"/>
      <c r="G747" s="14"/>
      <c r="H747" s="9">
        <f>IF(ISBLANK(C747), "", SUMIFS(F$2:F747, C$2:C747, C747) - SUMIFS(G$2:G747, C$2:C747, C747))</f>
        <v>0</v>
      </c>
    </row>
    <row r="748" spans="1:8" ht="18" customHeight="1" x14ac:dyDescent="0.55000000000000004">
      <c r="A748" s="11"/>
      <c r="C748" s="12" t="str">
        <f>IF(ISBLANK(B748), "", INDEX('কাস্টমার তালিকা'!$A$4:$A$305, MATCH(B748, 'কাস্টমার তালিকা'!$B$4:$B$305, 0)))</f>
        <v/>
      </c>
      <c r="D748" s="8"/>
      <c r="E748" s="8"/>
      <c r="F748" s="13"/>
      <c r="G748" s="14"/>
      <c r="H748" s="9">
        <f>IF(ISBLANK(C748), "", SUMIFS(F$2:F748, C$2:C748, C748) - SUMIFS(G$2:G748, C$2:C748, C748))</f>
        <v>0</v>
      </c>
    </row>
    <row r="749" spans="1:8" ht="18" customHeight="1" x14ac:dyDescent="0.55000000000000004">
      <c r="A749" s="11"/>
      <c r="C749" s="12" t="str">
        <f>IF(ISBLANK(B749), "", INDEX('কাস্টমার তালিকা'!$A$4:$A$305, MATCH(B749, 'কাস্টমার তালিকা'!$B$4:$B$305, 0)))</f>
        <v/>
      </c>
      <c r="D749" s="8"/>
      <c r="E749" s="8"/>
      <c r="F749" s="13"/>
      <c r="G749" s="14"/>
      <c r="H749" s="9">
        <f>IF(ISBLANK(C749), "", SUMIFS(F$2:F749, C$2:C749, C749) - SUMIFS(G$2:G749, C$2:C749, C749))</f>
        <v>0</v>
      </c>
    </row>
    <row r="750" spans="1:8" ht="18" customHeight="1" x14ac:dyDescent="0.55000000000000004">
      <c r="A750" s="11"/>
      <c r="C750" s="12" t="str">
        <f>IF(ISBLANK(B750), "", INDEX('কাস্টমার তালিকা'!$A$4:$A$305, MATCH(B750, 'কাস্টমার তালিকা'!$B$4:$B$305, 0)))</f>
        <v/>
      </c>
      <c r="D750" s="8"/>
      <c r="E750" s="8"/>
      <c r="F750" s="13"/>
      <c r="G750" s="14"/>
      <c r="H750" s="9">
        <f>IF(ISBLANK(C750), "", SUMIFS(F$2:F750, C$2:C750, C750) - SUMIFS(G$2:G750, C$2:C750, C750))</f>
        <v>0</v>
      </c>
    </row>
    <row r="751" spans="1:8" ht="18" customHeight="1" x14ac:dyDescent="0.55000000000000004">
      <c r="A751" s="11"/>
      <c r="C751" s="12" t="str">
        <f>IF(ISBLANK(B751), "", INDEX('কাস্টমার তালিকা'!$A$4:$A$305, MATCH(B751, 'কাস্টমার তালিকা'!$B$4:$B$305, 0)))</f>
        <v/>
      </c>
      <c r="D751" s="8"/>
      <c r="E751" s="8"/>
      <c r="F751" s="13"/>
      <c r="G751" s="14"/>
      <c r="H751" s="9">
        <f>IF(ISBLANK(C751), "", SUMIFS(F$2:F751, C$2:C751, C751) - SUMIFS(G$2:G751, C$2:C751, C751))</f>
        <v>0</v>
      </c>
    </row>
    <row r="752" spans="1:8" ht="18" customHeight="1" x14ac:dyDescent="0.55000000000000004">
      <c r="A752" s="11"/>
      <c r="C752" s="12" t="str">
        <f>IF(ISBLANK(B752), "", INDEX('কাস্টমার তালিকা'!$A$4:$A$305, MATCH(B752, 'কাস্টমার তালিকা'!$B$4:$B$305, 0)))</f>
        <v/>
      </c>
      <c r="D752" s="8"/>
      <c r="E752" s="8"/>
      <c r="F752" s="13"/>
      <c r="G752" s="14"/>
      <c r="H752" s="9">
        <f>IF(ISBLANK(C752), "", SUMIFS(F$2:F752, C$2:C752, C752) - SUMIFS(G$2:G752, C$2:C752, C752))</f>
        <v>0</v>
      </c>
    </row>
    <row r="753" spans="1:8" ht="18" customHeight="1" x14ac:dyDescent="0.55000000000000004">
      <c r="A753" s="11"/>
      <c r="C753" s="12" t="str">
        <f>IF(ISBLANK(B753), "", INDEX('কাস্টমার তালিকা'!$A$4:$A$305, MATCH(B753, 'কাস্টমার তালিকা'!$B$4:$B$305, 0)))</f>
        <v/>
      </c>
      <c r="D753" s="8"/>
      <c r="E753" s="8"/>
      <c r="F753" s="13"/>
      <c r="G753" s="14"/>
      <c r="H753" s="9">
        <f>IF(ISBLANK(C753), "", SUMIFS(F$2:F753, C$2:C753, C753) - SUMIFS(G$2:G753, C$2:C753, C753))</f>
        <v>0</v>
      </c>
    </row>
    <row r="754" spans="1:8" ht="18" customHeight="1" x14ac:dyDescent="0.55000000000000004">
      <c r="A754" s="11"/>
      <c r="C754" s="12" t="str">
        <f>IF(ISBLANK(B754), "", INDEX('কাস্টমার তালিকা'!$A$4:$A$305, MATCH(B754, 'কাস্টমার তালিকা'!$B$4:$B$305, 0)))</f>
        <v/>
      </c>
      <c r="D754" s="8"/>
      <c r="E754" s="8"/>
      <c r="F754" s="13"/>
      <c r="G754" s="14"/>
      <c r="H754" s="9">
        <f>IF(ISBLANK(C754), "", SUMIFS(F$2:F754, C$2:C754, C754) - SUMIFS(G$2:G754, C$2:C754, C754))</f>
        <v>0</v>
      </c>
    </row>
    <row r="755" spans="1:8" ht="18" customHeight="1" x14ac:dyDescent="0.55000000000000004">
      <c r="A755" s="11"/>
      <c r="C755" s="12" t="str">
        <f>IF(ISBLANK(B755), "", INDEX('কাস্টমার তালিকা'!$A$4:$A$305, MATCH(B755, 'কাস্টমার তালিকা'!$B$4:$B$305, 0)))</f>
        <v/>
      </c>
      <c r="D755" s="8"/>
      <c r="E755" s="8"/>
      <c r="F755" s="13"/>
      <c r="G755" s="14"/>
      <c r="H755" s="9">
        <f>IF(ISBLANK(C755), "", SUMIFS(F$2:F755, C$2:C755, C755) - SUMIFS(G$2:G755, C$2:C755, C755))</f>
        <v>0</v>
      </c>
    </row>
    <row r="756" spans="1:8" ht="18" customHeight="1" x14ac:dyDescent="0.55000000000000004">
      <c r="A756" s="11"/>
      <c r="C756" s="12" t="str">
        <f>IF(ISBLANK(B756), "", INDEX('কাস্টমার তালিকা'!$A$4:$A$305, MATCH(B756, 'কাস্টমার তালিকা'!$B$4:$B$305, 0)))</f>
        <v/>
      </c>
      <c r="D756" s="8"/>
      <c r="E756" s="8"/>
      <c r="F756" s="13"/>
      <c r="G756" s="14"/>
      <c r="H756" s="9">
        <f>IF(ISBLANK(C756), "", SUMIFS(F$2:F756, C$2:C756, C756) - SUMIFS(G$2:G756, C$2:C756, C756))</f>
        <v>0</v>
      </c>
    </row>
    <row r="757" spans="1:8" ht="18" customHeight="1" x14ac:dyDescent="0.55000000000000004">
      <c r="A757" s="11"/>
      <c r="C757" s="12" t="str">
        <f>IF(ISBLANK(B757), "", INDEX('কাস্টমার তালিকা'!$A$4:$A$305, MATCH(B757, 'কাস্টমার তালিকা'!$B$4:$B$305, 0)))</f>
        <v/>
      </c>
      <c r="D757" s="8"/>
      <c r="E757" s="8"/>
      <c r="F757" s="13"/>
      <c r="G757" s="14"/>
      <c r="H757" s="9">
        <f>IF(ISBLANK(C757), "", SUMIFS(F$2:F757, C$2:C757, C757) - SUMIFS(G$2:G757, C$2:C757, C757))</f>
        <v>0</v>
      </c>
    </row>
    <row r="758" spans="1:8" ht="18" customHeight="1" x14ac:dyDescent="0.55000000000000004">
      <c r="A758" s="11"/>
      <c r="C758" s="12" t="str">
        <f>IF(ISBLANK(B758), "", INDEX('কাস্টমার তালিকা'!$A$4:$A$305, MATCH(B758, 'কাস্টমার তালিকা'!$B$4:$B$305, 0)))</f>
        <v/>
      </c>
      <c r="D758" s="8"/>
      <c r="E758" s="8"/>
      <c r="F758" s="13"/>
      <c r="G758" s="14"/>
      <c r="H758" s="9">
        <f>IF(ISBLANK(C758), "", SUMIFS(F$2:F758, C$2:C758, C758) - SUMIFS(G$2:G758, C$2:C758, C758))</f>
        <v>0</v>
      </c>
    </row>
    <row r="759" spans="1:8" ht="18" customHeight="1" x14ac:dyDescent="0.55000000000000004">
      <c r="A759" s="11"/>
      <c r="C759" s="12" t="str">
        <f>IF(ISBLANK(B759), "", INDEX('কাস্টমার তালিকা'!$A$4:$A$305, MATCH(B759, 'কাস্টমার তালিকা'!$B$4:$B$305, 0)))</f>
        <v/>
      </c>
      <c r="D759" s="8"/>
      <c r="E759" s="8"/>
      <c r="F759" s="13"/>
      <c r="G759" s="14"/>
      <c r="H759" s="9">
        <f>IF(ISBLANK(C759), "", SUMIFS(F$2:F759, C$2:C759, C759) - SUMIFS(G$2:G759, C$2:C759, C759))</f>
        <v>0</v>
      </c>
    </row>
    <row r="760" spans="1:8" ht="18" customHeight="1" x14ac:dyDescent="0.55000000000000004">
      <c r="A760" s="11"/>
      <c r="C760" s="12" t="str">
        <f>IF(ISBLANK(B760), "", INDEX('কাস্টমার তালিকা'!$A$4:$A$305, MATCH(B760, 'কাস্টমার তালিকা'!$B$4:$B$305, 0)))</f>
        <v/>
      </c>
      <c r="D760" s="8"/>
      <c r="E760" s="8"/>
      <c r="F760" s="13"/>
      <c r="G760" s="14"/>
      <c r="H760" s="9">
        <f>IF(ISBLANK(C760), "", SUMIFS(F$2:F760, C$2:C760, C760) - SUMIFS(G$2:G760, C$2:C760, C760))</f>
        <v>0</v>
      </c>
    </row>
    <row r="761" spans="1:8" ht="18" customHeight="1" x14ac:dyDescent="0.55000000000000004">
      <c r="A761" s="11"/>
      <c r="C761" s="12" t="str">
        <f>IF(ISBLANK(B761), "", INDEX('কাস্টমার তালিকা'!$A$4:$A$305, MATCH(B761, 'কাস্টমার তালিকা'!$B$4:$B$305, 0)))</f>
        <v/>
      </c>
      <c r="D761" s="8"/>
      <c r="E761" s="8"/>
      <c r="F761" s="13"/>
      <c r="G761" s="14"/>
      <c r="H761" s="9">
        <f>IF(ISBLANK(C761), "", SUMIFS(F$2:F761, C$2:C761, C761) - SUMIFS(G$2:G761, C$2:C761, C761))</f>
        <v>0</v>
      </c>
    </row>
    <row r="762" spans="1:8" ht="18" customHeight="1" x14ac:dyDescent="0.55000000000000004">
      <c r="A762" s="11"/>
      <c r="C762" s="12" t="str">
        <f>IF(ISBLANK(B762), "", INDEX('কাস্টমার তালিকা'!$A$4:$A$305, MATCH(B762, 'কাস্টমার তালিকা'!$B$4:$B$305, 0)))</f>
        <v/>
      </c>
      <c r="D762" s="8"/>
      <c r="E762" s="8"/>
      <c r="F762" s="13"/>
      <c r="G762" s="14"/>
      <c r="H762" s="9">
        <f>IF(ISBLANK(C762), "", SUMIFS(F$2:F762, C$2:C762, C762) - SUMIFS(G$2:G762, C$2:C762, C762))</f>
        <v>0</v>
      </c>
    </row>
    <row r="763" spans="1:8" ht="18" customHeight="1" x14ac:dyDescent="0.55000000000000004">
      <c r="A763" s="11"/>
      <c r="C763" s="12" t="str">
        <f>IF(ISBLANK(B763), "", INDEX('কাস্টমার তালিকা'!$A$4:$A$305, MATCH(B763, 'কাস্টমার তালিকা'!$B$4:$B$305, 0)))</f>
        <v/>
      </c>
      <c r="D763" s="8"/>
      <c r="E763" s="8"/>
      <c r="F763" s="13"/>
      <c r="G763" s="14"/>
      <c r="H763" s="9">
        <f>IF(ISBLANK(C763), "", SUMIFS(F$2:F763, C$2:C763, C763) - SUMIFS(G$2:G763, C$2:C763, C763))</f>
        <v>0</v>
      </c>
    </row>
    <row r="764" spans="1:8" ht="18" customHeight="1" x14ac:dyDescent="0.55000000000000004">
      <c r="A764" s="11"/>
      <c r="C764" s="12" t="str">
        <f>IF(ISBLANK(B764), "", INDEX('কাস্টমার তালিকা'!$A$4:$A$305, MATCH(B764, 'কাস্টমার তালিকা'!$B$4:$B$305, 0)))</f>
        <v/>
      </c>
      <c r="D764" s="8"/>
      <c r="E764" s="8"/>
      <c r="F764" s="13"/>
      <c r="G764" s="14"/>
      <c r="H764" s="9">
        <f>IF(ISBLANK(C764), "", SUMIFS(F$2:F764, C$2:C764, C764) - SUMIFS(G$2:G764, C$2:C764, C764))</f>
        <v>0</v>
      </c>
    </row>
    <row r="765" spans="1:8" ht="18" customHeight="1" x14ac:dyDescent="0.55000000000000004">
      <c r="A765" s="11"/>
      <c r="C765" s="12" t="str">
        <f>IF(ISBLANK(B765), "", INDEX('কাস্টমার তালিকা'!$A$4:$A$305, MATCH(B765, 'কাস্টমার তালিকা'!$B$4:$B$305, 0)))</f>
        <v/>
      </c>
      <c r="D765" s="8"/>
      <c r="E765" s="8"/>
      <c r="F765" s="13"/>
      <c r="G765" s="14"/>
      <c r="H765" s="9">
        <f>IF(ISBLANK(C765), "", SUMIFS(F$2:F765, C$2:C765, C765) - SUMIFS(G$2:G765, C$2:C765, C765))</f>
        <v>0</v>
      </c>
    </row>
    <row r="766" spans="1:8" ht="18" customHeight="1" x14ac:dyDescent="0.55000000000000004">
      <c r="A766" s="11"/>
      <c r="C766" s="12" t="str">
        <f>IF(ISBLANK(B766), "", INDEX('কাস্টমার তালিকা'!$A$4:$A$305, MATCH(B766, 'কাস্টমার তালিকা'!$B$4:$B$305, 0)))</f>
        <v/>
      </c>
      <c r="D766" s="8"/>
      <c r="E766" s="8"/>
      <c r="F766" s="13"/>
      <c r="G766" s="14"/>
      <c r="H766" s="9">
        <f>IF(ISBLANK(C766), "", SUMIFS(F$2:F766, C$2:C766, C766) - SUMIFS(G$2:G766, C$2:C766, C766))</f>
        <v>0</v>
      </c>
    </row>
    <row r="767" spans="1:8" ht="18" customHeight="1" x14ac:dyDescent="0.55000000000000004">
      <c r="A767" s="11"/>
      <c r="C767" s="12" t="str">
        <f>IF(ISBLANK(B767), "", INDEX('কাস্টমার তালিকা'!$A$4:$A$305, MATCH(B767, 'কাস্টমার তালিকা'!$B$4:$B$305, 0)))</f>
        <v/>
      </c>
      <c r="D767" s="8"/>
      <c r="E767" s="8"/>
      <c r="F767" s="13"/>
      <c r="G767" s="14"/>
      <c r="H767" s="9">
        <f>IF(ISBLANK(C767), "", SUMIFS(F$2:F767, C$2:C767, C767) - SUMIFS(G$2:G767, C$2:C767, C767))</f>
        <v>0</v>
      </c>
    </row>
    <row r="768" spans="1:8" ht="18" customHeight="1" x14ac:dyDescent="0.55000000000000004">
      <c r="A768" s="11"/>
      <c r="C768" s="12" t="str">
        <f>IF(ISBLANK(B768), "", INDEX('কাস্টমার তালিকা'!$A$4:$A$305, MATCH(B768, 'কাস্টমার তালিকা'!$B$4:$B$305, 0)))</f>
        <v/>
      </c>
      <c r="D768" s="8"/>
      <c r="E768" s="8"/>
      <c r="F768" s="13"/>
      <c r="G768" s="14"/>
      <c r="H768" s="9">
        <f>IF(ISBLANK(C768), "", SUMIFS(F$2:F768, C$2:C768, C768) - SUMIFS(G$2:G768, C$2:C768, C768))</f>
        <v>0</v>
      </c>
    </row>
    <row r="769" spans="1:8" ht="18" customHeight="1" x14ac:dyDescent="0.55000000000000004">
      <c r="A769" s="11"/>
      <c r="C769" s="12" t="str">
        <f>IF(ISBLANK(B769), "", INDEX('কাস্টমার তালিকা'!$A$4:$A$305, MATCH(B769, 'কাস্টমার তালিকা'!$B$4:$B$305, 0)))</f>
        <v/>
      </c>
      <c r="D769" s="8"/>
      <c r="E769" s="8"/>
      <c r="F769" s="13"/>
      <c r="G769" s="14"/>
      <c r="H769" s="9">
        <f>IF(ISBLANK(C769), "", SUMIFS(F$2:F769, C$2:C769, C769) - SUMIFS(G$2:G769, C$2:C769, C769))</f>
        <v>0</v>
      </c>
    </row>
    <row r="770" spans="1:8" ht="18" customHeight="1" x14ac:dyDescent="0.55000000000000004">
      <c r="A770" s="11"/>
      <c r="C770" s="12" t="str">
        <f>IF(ISBLANK(B770), "", INDEX('কাস্টমার তালিকা'!$A$4:$A$305, MATCH(B770, 'কাস্টমার তালিকা'!$B$4:$B$305, 0)))</f>
        <v/>
      </c>
      <c r="D770" s="8"/>
      <c r="E770" s="8"/>
      <c r="F770" s="13"/>
      <c r="G770" s="14"/>
      <c r="H770" s="9">
        <f>IF(ISBLANK(C770), "", SUMIFS(F$2:F770, C$2:C770, C770) - SUMIFS(G$2:G770, C$2:C770, C770))</f>
        <v>0</v>
      </c>
    </row>
    <row r="771" spans="1:8" ht="18" customHeight="1" x14ac:dyDescent="0.55000000000000004">
      <c r="A771" s="11"/>
      <c r="C771" s="12" t="str">
        <f>IF(ISBLANK(B771), "", INDEX('কাস্টমার তালিকা'!$A$4:$A$305, MATCH(B771, 'কাস্টমার তালিকা'!$B$4:$B$305, 0)))</f>
        <v/>
      </c>
      <c r="D771" s="8"/>
      <c r="E771" s="8"/>
      <c r="F771" s="13"/>
      <c r="G771" s="14"/>
      <c r="H771" s="9">
        <f>IF(ISBLANK(C771), "", SUMIFS(F$2:F771, C$2:C771, C771) - SUMIFS(G$2:G771, C$2:C771, C771))</f>
        <v>0</v>
      </c>
    </row>
    <row r="772" spans="1:8" ht="18" customHeight="1" x14ac:dyDescent="0.55000000000000004">
      <c r="A772" s="11"/>
      <c r="C772" s="12" t="str">
        <f>IF(ISBLANK(B772), "", INDEX('কাস্টমার তালিকা'!$A$4:$A$305, MATCH(B772, 'কাস্টমার তালিকা'!$B$4:$B$305, 0)))</f>
        <v/>
      </c>
      <c r="D772" s="8"/>
      <c r="E772" s="8"/>
      <c r="F772" s="13"/>
      <c r="G772" s="14"/>
      <c r="H772" s="9">
        <f>IF(ISBLANK(C772), "", SUMIFS(F$2:F772, C$2:C772, C772) - SUMIFS(G$2:G772, C$2:C772, C772))</f>
        <v>0</v>
      </c>
    </row>
    <row r="773" spans="1:8" ht="18" customHeight="1" x14ac:dyDescent="0.55000000000000004">
      <c r="A773" s="11"/>
      <c r="C773" s="12" t="str">
        <f>IF(ISBLANK(B773), "", INDEX('কাস্টমার তালিকা'!$A$4:$A$305, MATCH(B773, 'কাস্টমার তালিকা'!$B$4:$B$305, 0)))</f>
        <v/>
      </c>
      <c r="D773" s="8"/>
      <c r="E773" s="8"/>
      <c r="F773" s="13"/>
      <c r="G773" s="14"/>
      <c r="H773" s="9">
        <f>IF(ISBLANK(C773), "", SUMIFS(F$2:F773, C$2:C773, C773) - SUMIFS(G$2:G773, C$2:C773, C773))</f>
        <v>0</v>
      </c>
    </row>
    <row r="774" spans="1:8" ht="18" customHeight="1" x14ac:dyDescent="0.55000000000000004">
      <c r="A774" s="11"/>
      <c r="C774" s="12" t="str">
        <f>IF(ISBLANK(B774), "", INDEX('কাস্টমার তালিকা'!$A$4:$A$305, MATCH(B774, 'কাস্টমার তালিকা'!$B$4:$B$305, 0)))</f>
        <v/>
      </c>
      <c r="D774" s="8"/>
      <c r="E774" s="8"/>
      <c r="F774" s="13"/>
      <c r="G774" s="14"/>
      <c r="H774" s="9">
        <f>IF(ISBLANK(C774), "", SUMIFS(F$2:F774, C$2:C774, C774) - SUMIFS(G$2:G774, C$2:C774, C774))</f>
        <v>0</v>
      </c>
    </row>
    <row r="775" spans="1:8" ht="18" customHeight="1" x14ac:dyDescent="0.55000000000000004">
      <c r="A775" s="11"/>
      <c r="C775" s="12" t="str">
        <f>IF(ISBLANK(B775), "", INDEX('কাস্টমার তালিকা'!$A$4:$A$305, MATCH(B775, 'কাস্টমার তালিকা'!$B$4:$B$305, 0)))</f>
        <v/>
      </c>
      <c r="D775" s="8"/>
      <c r="E775" s="8"/>
      <c r="F775" s="13"/>
      <c r="G775" s="14"/>
      <c r="H775" s="9">
        <f>IF(ISBLANK(C775), "", SUMIFS(F$2:F775, C$2:C775, C775) - SUMIFS(G$2:G775, C$2:C775, C775))</f>
        <v>0</v>
      </c>
    </row>
    <row r="776" spans="1:8" ht="18" customHeight="1" x14ac:dyDescent="0.55000000000000004">
      <c r="A776" s="11"/>
      <c r="C776" s="12" t="str">
        <f>IF(ISBLANK(B776), "", INDEX('কাস্টমার তালিকা'!$A$4:$A$305, MATCH(B776, 'কাস্টমার তালিকা'!$B$4:$B$305, 0)))</f>
        <v/>
      </c>
      <c r="D776" s="8"/>
      <c r="E776" s="8"/>
      <c r="F776" s="13"/>
      <c r="G776" s="14"/>
      <c r="H776" s="9">
        <f>IF(ISBLANK(C776), "", SUMIFS(F$2:F776, C$2:C776, C776) - SUMIFS(G$2:G776, C$2:C776, C776))</f>
        <v>0</v>
      </c>
    </row>
    <row r="777" spans="1:8" ht="18" customHeight="1" x14ac:dyDescent="0.55000000000000004">
      <c r="A777" s="11"/>
      <c r="C777" s="12" t="str">
        <f>IF(ISBLANK(B777), "", INDEX('কাস্টমার তালিকা'!$A$4:$A$305, MATCH(B777, 'কাস্টমার তালিকা'!$B$4:$B$305, 0)))</f>
        <v/>
      </c>
      <c r="D777" s="8"/>
      <c r="E777" s="8"/>
      <c r="F777" s="13"/>
      <c r="G777" s="14"/>
      <c r="H777" s="9">
        <f>IF(ISBLANK(C777), "", SUMIFS(F$2:F777, C$2:C777, C777) - SUMIFS(G$2:G777, C$2:C777, C777))</f>
        <v>0</v>
      </c>
    </row>
    <row r="778" spans="1:8" ht="18" customHeight="1" x14ac:dyDescent="0.55000000000000004">
      <c r="A778" s="11"/>
      <c r="C778" s="12" t="str">
        <f>IF(ISBLANK(B778), "", INDEX('কাস্টমার তালিকা'!$A$4:$A$305, MATCH(B778, 'কাস্টমার তালিকা'!$B$4:$B$305, 0)))</f>
        <v/>
      </c>
      <c r="D778" s="8"/>
      <c r="E778" s="8"/>
      <c r="F778" s="13"/>
      <c r="G778" s="14"/>
      <c r="H778" s="9">
        <f>IF(ISBLANK(C778), "", SUMIFS(F$2:F778, C$2:C778, C778) - SUMIFS(G$2:G778, C$2:C778, C778))</f>
        <v>0</v>
      </c>
    </row>
    <row r="779" spans="1:8" ht="18" customHeight="1" x14ac:dyDescent="0.55000000000000004">
      <c r="A779" s="11"/>
      <c r="C779" s="12" t="str">
        <f>IF(ISBLANK(B779), "", INDEX('কাস্টমার তালিকা'!$A$4:$A$305, MATCH(B779, 'কাস্টমার তালিকা'!$B$4:$B$305, 0)))</f>
        <v/>
      </c>
      <c r="D779" s="8"/>
      <c r="E779" s="8"/>
      <c r="F779" s="13"/>
      <c r="G779" s="14"/>
      <c r="H779" s="9">
        <f>IF(ISBLANK(C779), "", SUMIFS(F$2:F779, C$2:C779, C779) - SUMIFS(G$2:G779, C$2:C779, C779))</f>
        <v>0</v>
      </c>
    </row>
    <row r="780" spans="1:8" ht="18" customHeight="1" x14ac:dyDescent="0.55000000000000004">
      <c r="A780" s="11"/>
      <c r="C780" s="12" t="str">
        <f>IF(ISBLANK(B780), "", INDEX('কাস্টমার তালিকা'!$A$4:$A$305, MATCH(B780, 'কাস্টমার তালিকা'!$B$4:$B$305, 0)))</f>
        <v/>
      </c>
      <c r="D780" s="8"/>
      <c r="E780" s="8"/>
      <c r="F780" s="13"/>
      <c r="G780" s="14"/>
      <c r="H780" s="9">
        <f>IF(ISBLANK(C780), "", SUMIFS(F$2:F780, C$2:C780, C780) - SUMIFS(G$2:G780, C$2:C780, C780))</f>
        <v>0</v>
      </c>
    </row>
    <row r="781" spans="1:8" ht="18" customHeight="1" x14ac:dyDescent="0.55000000000000004">
      <c r="A781" s="11"/>
      <c r="C781" s="12" t="str">
        <f>IF(ISBLANK(B781), "", INDEX('কাস্টমার তালিকা'!$A$4:$A$305, MATCH(B781, 'কাস্টমার তালিকা'!$B$4:$B$305, 0)))</f>
        <v/>
      </c>
      <c r="D781" s="8"/>
      <c r="E781" s="8"/>
      <c r="F781" s="13"/>
      <c r="G781" s="14"/>
      <c r="H781" s="9">
        <f>IF(ISBLANK(C781), "", SUMIFS(F$2:F781, C$2:C781, C781) - SUMIFS(G$2:G781, C$2:C781, C781))</f>
        <v>0</v>
      </c>
    </row>
    <row r="782" spans="1:8" ht="18" customHeight="1" x14ac:dyDescent="0.55000000000000004">
      <c r="A782" s="11"/>
      <c r="C782" s="12" t="str">
        <f>IF(ISBLANK(B782), "", INDEX('কাস্টমার তালিকা'!$A$4:$A$305, MATCH(B782, 'কাস্টমার তালিকা'!$B$4:$B$305, 0)))</f>
        <v/>
      </c>
      <c r="D782" s="8"/>
      <c r="E782" s="8"/>
      <c r="F782" s="13"/>
      <c r="G782" s="14"/>
      <c r="H782" s="9">
        <f>IF(ISBLANK(C782), "", SUMIFS(F$2:F782, C$2:C782, C782) - SUMIFS(G$2:G782, C$2:C782, C782))</f>
        <v>0</v>
      </c>
    </row>
    <row r="783" spans="1:8" ht="18" customHeight="1" x14ac:dyDescent="0.55000000000000004">
      <c r="A783" s="11"/>
      <c r="C783" s="12" t="str">
        <f>IF(ISBLANK(B783), "", INDEX('কাস্টমার তালিকা'!$A$4:$A$305, MATCH(B783, 'কাস্টমার তালিকা'!$B$4:$B$305, 0)))</f>
        <v/>
      </c>
      <c r="D783" s="8"/>
      <c r="E783" s="8"/>
      <c r="F783" s="13"/>
      <c r="G783" s="14"/>
      <c r="H783" s="9">
        <f>IF(ISBLANK(C783), "", SUMIFS(F$2:F783, C$2:C783, C783) - SUMIFS(G$2:G783, C$2:C783, C783))</f>
        <v>0</v>
      </c>
    </row>
    <row r="784" spans="1:8" ht="18" customHeight="1" x14ac:dyDescent="0.55000000000000004">
      <c r="A784" s="11"/>
      <c r="C784" s="12" t="str">
        <f>IF(ISBLANK(B784), "", INDEX('কাস্টমার তালিকা'!$A$4:$A$305, MATCH(B784, 'কাস্টমার তালিকা'!$B$4:$B$305, 0)))</f>
        <v/>
      </c>
      <c r="D784" s="8"/>
      <c r="E784" s="8"/>
      <c r="F784" s="13"/>
      <c r="G784" s="14"/>
      <c r="H784" s="9">
        <f>IF(ISBLANK(C784), "", SUMIFS(F$2:F784, C$2:C784, C784) - SUMIFS(G$2:G784, C$2:C784, C784))</f>
        <v>0</v>
      </c>
    </row>
    <row r="785" spans="1:8" ht="18" customHeight="1" x14ac:dyDescent="0.55000000000000004">
      <c r="A785" s="11"/>
      <c r="C785" s="12" t="str">
        <f>IF(ISBLANK(B785), "", INDEX('কাস্টমার তালিকা'!$A$4:$A$305, MATCH(B785, 'কাস্টমার তালিকা'!$B$4:$B$305, 0)))</f>
        <v/>
      </c>
      <c r="D785" s="8"/>
      <c r="E785" s="8"/>
      <c r="F785" s="13"/>
      <c r="G785" s="14"/>
      <c r="H785" s="9">
        <f>IF(ISBLANK(C785), "", SUMIFS(F$2:F785, C$2:C785, C785) - SUMIFS(G$2:G785, C$2:C785, C785))</f>
        <v>0</v>
      </c>
    </row>
    <row r="786" spans="1:8" ht="18" customHeight="1" x14ac:dyDescent="0.55000000000000004">
      <c r="A786" s="11"/>
      <c r="C786" s="12" t="str">
        <f>IF(ISBLANK(B786), "", INDEX('কাস্টমার তালিকা'!$A$4:$A$305, MATCH(B786, 'কাস্টমার তালিকা'!$B$4:$B$305, 0)))</f>
        <v/>
      </c>
      <c r="D786" s="8"/>
      <c r="E786" s="8"/>
      <c r="F786" s="13"/>
      <c r="G786" s="14"/>
      <c r="H786" s="9">
        <f>IF(ISBLANK(C786), "", SUMIFS(F$2:F786, C$2:C786, C786) - SUMIFS(G$2:G786, C$2:C786, C786))</f>
        <v>0</v>
      </c>
    </row>
    <row r="787" spans="1:8" ht="18" customHeight="1" x14ac:dyDescent="0.55000000000000004">
      <c r="A787" s="11"/>
      <c r="C787" s="12" t="str">
        <f>IF(ISBLANK(B787), "", INDEX('কাস্টমার তালিকা'!$A$4:$A$305, MATCH(B787, 'কাস্টমার তালিকা'!$B$4:$B$305, 0)))</f>
        <v/>
      </c>
      <c r="D787" s="8"/>
      <c r="E787" s="8"/>
      <c r="F787" s="13"/>
      <c r="G787" s="14"/>
      <c r="H787" s="9">
        <f>IF(ISBLANK(C787), "", SUMIFS(F$2:F787, C$2:C787, C787) - SUMIFS(G$2:G787, C$2:C787, C787))</f>
        <v>0</v>
      </c>
    </row>
    <row r="788" spans="1:8" ht="18" customHeight="1" x14ac:dyDescent="0.55000000000000004">
      <c r="A788" s="11"/>
      <c r="C788" s="12" t="str">
        <f>IF(ISBLANK(B788), "", INDEX('কাস্টমার তালিকা'!$A$4:$A$305, MATCH(B788, 'কাস্টমার তালিকা'!$B$4:$B$305, 0)))</f>
        <v/>
      </c>
      <c r="D788" s="8"/>
      <c r="E788" s="8"/>
      <c r="F788" s="13"/>
      <c r="G788" s="14"/>
      <c r="H788" s="9">
        <f>IF(ISBLANK(C788), "", SUMIFS(F$2:F788, C$2:C788, C788) - SUMIFS(G$2:G788, C$2:C788, C788))</f>
        <v>0</v>
      </c>
    </row>
    <row r="789" spans="1:8" ht="18" customHeight="1" x14ac:dyDescent="0.55000000000000004">
      <c r="A789" s="11"/>
      <c r="C789" s="12" t="str">
        <f>IF(ISBLANK(B789), "", INDEX('কাস্টমার তালিকা'!$A$4:$A$305, MATCH(B789, 'কাস্টমার তালিকা'!$B$4:$B$305, 0)))</f>
        <v/>
      </c>
      <c r="D789" s="8"/>
      <c r="E789" s="8"/>
      <c r="F789" s="13"/>
      <c r="G789" s="14"/>
      <c r="H789" s="9">
        <f>IF(ISBLANK(C789), "", SUMIFS(F$2:F789, C$2:C789, C789) - SUMIFS(G$2:G789, C$2:C789, C789))</f>
        <v>0</v>
      </c>
    </row>
    <row r="790" spans="1:8" ht="18" customHeight="1" x14ac:dyDescent="0.55000000000000004">
      <c r="A790" s="11"/>
      <c r="C790" s="12" t="str">
        <f>IF(ISBLANK(B790), "", INDEX('কাস্টমার তালিকা'!$A$4:$A$305, MATCH(B790, 'কাস্টমার তালিকা'!$B$4:$B$305, 0)))</f>
        <v/>
      </c>
      <c r="D790" s="8"/>
      <c r="E790" s="8"/>
      <c r="F790" s="13"/>
      <c r="G790" s="14"/>
      <c r="H790" s="9">
        <f>IF(ISBLANK(C790), "", SUMIFS(F$2:F790, C$2:C790, C790) - SUMIFS(G$2:G790, C$2:C790, C790))</f>
        <v>0</v>
      </c>
    </row>
    <row r="791" spans="1:8" ht="18" customHeight="1" x14ac:dyDescent="0.55000000000000004">
      <c r="A791" s="11"/>
      <c r="C791" s="12" t="str">
        <f>IF(ISBLANK(B791), "", INDEX('কাস্টমার তালিকা'!$A$4:$A$305, MATCH(B791, 'কাস্টমার তালিকা'!$B$4:$B$305, 0)))</f>
        <v/>
      </c>
      <c r="D791" s="8"/>
      <c r="E791" s="8"/>
      <c r="F791" s="13"/>
      <c r="G791" s="14"/>
      <c r="H791" s="9">
        <f>IF(ISBLANK(C791), "", SUMIFS(F$2:F791, C$2:C791, C791) - SUMIFS(G$2:G791, C$2:C791, C791))</f>
        <v>0</v>
      </c>
    </row>
    <row r="792" spans="1:8" ht="18" customHeight="1" x14ac:dyDescent="0.55000000000000004">
      <c r="A792" s="11"/>
      <c r="C792" s="12" t="str">
        <f>IF(ISBLANK(B792), "", INDEX('কাস্টমার তালিকা'!$A$4:$A$305, MATCH(B792, 'কাস্টমার তালিকা'!$B$4:$B$305, 0)))</f>
        <v/>
      </c>
      <c r="D792" s="8"/>
      <c r="E792" s="8"/>
      <c r="F792" s="13"/>
      <c r="G792" s="14"/>
      <c r="H792" s="9">
        <f>IF(ISBLANK(C792), "", SUMIFS(F$2:F792, C$2:C792, C792) - SUMIFS(G$2:G792, C$2:C792, C792))</f>
        <v>0</v>
      </c>
    </row>
    <row r="793" spans="1:8" ht="18" customHeight="1" x14ac:dyDescent="0.55000000000000004">
      <c r="A793" s="11"/>
      <c r="C793" s="12" t="str">
        <f>IF(ISBLANK(B793), "", INDEX('কাস্টমার তালিকা'!$A$4:$A$305, MATCH(B793, 'কাস্টমার তালিকা'!$B$4:$B$305, 0)))</f>
        <v/>
      </c>
      <c r="D793" s="8"/>
      <c r="E793" s="8"/>
      <c r="F793" s="13"/>
      <c r="G793" s="14"/>
      <c r="H793" s="9">
        <f>IF(ISBLANK(C793), "", SUMIFS(F$2:F793, C$2:C793, C793) - SUMIFS(G$2:G793, C$2:C793, C793))</f>
        <v>0</v>
      </c>
    </row>
    <row r="794" spans="1:8" ht="18" customHeight="1" x14ac:dyDescent="0.55000000000000004">
      <c r="A794" s="11"/>
      <c r="C794" s="12" t="str">
        <f>IF(ISBLANK(B794), "", INDEX('কাস্টমার তালিকা'!$A$4:$A$305, MATCH(B794, 'কাস্টমার তালিকা'!$B$4:$B$305, 0)))</f>
        <v/>
      </c>
      <c r="D794" s="8"/>
      <c r="E794" s="8"/>
      <c r="F794" s="13"/>
      <c r="G794" s="14"/>
      <c r="H794" s="9">
        <f>IF(ISBLANK(C794), "", SUMIFS(F$2:F794, C$2:C794, C794) - SUMIFS(G$2:G794, C$2:C794, C794))</f>
        <v>0</v>
      </c>
    </row>
    <row r="795" spans="1:8" ht="18" customHeight="1" x14ac:dyDescent="0.55000000000000004">
      <c r="A795" s="11"/>
      <c r="C795" s="12" t="str">
        <f>IF(ISBLANK(B795), "", INDEX('কাস্টমার তালিকা'!$A$4:$A$305, MATCH(B795, 'কাস্টমার তালিকা'!$B$4:$B$305, 0)))</f>
        <v/>
      </c>
      <c r="D795" s="8"/>
      <c r="E795" s="8"/>
      <c r="F795" s="13"/>
      <c r="G795" s="14"/>
      <c r="H795" s="9">
        <f>IF(ISBLANK(C795), "", SUMIFS(F$2:F795, C$2:C795, C795) - SUMIFS(G$2:G795, C$2:C795, C795))</f>
        <v>0</v>
      </c>
    </row>
    <row r="796" spans="1:8" ht="18" customHeight="1" x14ac:dyDescent="0.55000000000000004">
      <c r="A796" s="11"/>
      <c r="C796" s="12" t="str">
        <f>IF(ISBLANK(B796), "", INDEX('কাস্টমার তালিকা'!$A$4:$A$305, MATCH(B796, 'কাস্টমার তালিকা'!$B$4:$B$305, 0)))</f>
        <v/>
      </c>
      <c r="D796" s="8"/>
      <c r="E796" s="8"/>
      <c r="F796" s="13"/>
      <c r="G796" s="14"/>
      <c r="H796" s="9">
        <f>IF(ISBLANK(C796), "", SUMIFS(F$2:F796, C$2:C796, C796) - SUMIFS(G$2:G796, C$2:C796, C796))</f>
        <v>0</v>
      </c>
    </row>
    <row r="797" spans="1:8" ht="18" customHeight="1" x14ac:dyDescent="0.55000000000000004">
      <c r="A797" s="11"/>
      <c r="C797" s="12" t="str">
        <f>IF(ISBLANK(B797), "", INDEX('কাস্টমার তালিকা'!$A$4:$A$305, MATCH(B797, 'কাস্টমার তালিকা'!$B$4:$B$305, 0)))</f>
        <v/>
      </c>
      <c r="D797" s="8"/>
      <c r="E797" s="8"/>
      <c r="F797" s="13"/>
      <c r="G797" s="14"/>
      <c r="H797" s="9">
        <f>IF(ISBLANK(C797), "", SUMIFS(F$2:F797, C$2:C797, C797) - SUMIFS(G$2:G797, C$2:C797, C797))</f>
        <v>0</v>
      </c>
    </row>
    <row r="798" spans="1:8" ht="18" customHeight="1" x14ac:dyDescent="0.55000000000000004">
      <c r="A798" s="11"/>
      <c r="C798" s="12" t="str">
        <f>IF(ISBLANK(B798), "", INDEX('কাস্টমার তালিকা'!$A$4:$A$305, MATCH(B798, 'কাস্টমার তালিকা'!$B$4:$B$305, 0)))</f>
        <v/>
      </c>
      <c r="D798" s="8"/>
      <c r="E798" s="8"/>
      <c r="F798" s="13"/>
      <c r="G798" s="14"/>
      <c r="H798" s="9">
        <f>IF(ISBLANK(C798), "", SUMIFS(F$2:F798, C$2:C798, C798) - SUMIFS(G$2:G798, C$2:C798, C798))</f>
        <v>0</v>
      </c>
    </row>
    <row r="799" spans="1:8" ht="18" customHeight="1" x14ac:dyDescent="0.55000000000000004">
      <c r="A799" s="11"/>
      <c r="C799" s="12" t="str">
        <f>IF(ISBLANK(B799), "", INDEX('কাস্টমার তালিকা'!$A$4:$A$305, MATCH(B799, 'কাস্টমার তালিকা'!$B$4:$B$305, 0)))</f>
        <v/>
      </c>
      <c r="D799" s="8"/>
      <c r="E799" s="8"/>
      <c r="F799" s="13"/>
      <c r="G799" s="14"/>
      <c r="H799" s="9">
        <f>IF(ISBLANK(C799), "", SUMIFS(F$2:F799, C$2:C799, C799) - SUMIFS(G$2:G799, C$2:C799, C799))</f>
        <v>0</v>
      </c>
    </row>
    <row r="800" spans="1:8" ht="18" customHeight="1" x14ac:dyDescent="0.55000000000000004">
      <c r="A800" s="11"/>
      <c r="C800" s="12" t="str">
        <f>IF(ISBLANK(B800), "", INDEX('কাস্টমার তালিকা'!$A$4:$A$305, MATCH(B800, 'কাস্টমার তালিকা'!$B$4:$B$305, 0)))</f>
        <v/>
      </c>
      <c r="D800" s="8"/>
      <c r="E800" s="8"/>
      <c r="F800" s="13"/>
      <c r="G800" s="14"/>
      <c r="H800" s="9">
        <f>IF(ISBLANK(C800), "", SUMIFS(F$2:F800, C$2:C800, C800) - SUMIFS(G$2:G800, C$2:C800, C800))</f>
        <v>0</v>
      </c>
    </row>
    <row r="801" spans="1:8" ht="18" customHeight="1" x14ac:dyDescent="0.55000000000000004">
      <c r="A801" s="11"/>
      <c r="C801" s="12" t="str">
        <f>IF(ISBLANK(B801), "", INDEX('কাস্টমার তালিকা'!$A$4:$A$305, MATCH(B801, 'কাস্টমার তালিকা'!$B$4:$B$305, 0)))</f>
        <v/>
      </c>
      <c r="D801" s="8"/>
      <c r="E801" s="8"/>
      <c r="F801" s="13"/>
      <c r="G801" s="14"/>
      <c r="H801" s="9">
        <f>IF(ISBLANK(C801), "", SUMIFS(F$2:F801, C$2:C801, C801) - SUMIFS(G$2:G801, C$2:C801, C801))</f>
        <v>0</v>
      </c>
    </row>
    <row r="802" spans="1:8" ht="18" customHeight="1" x14ac:dyDescent="0.55000000000000004">
      <c r="A802" s="11"/>
      <c r="C802" s="12" t="str">
        <f>IF(ISBLANK(B802), "", INDEX('কাস্টমার তালিকা'!$A$4:$A$305, MATCH(B802, 'কাস্টমার তালিকা'!$B$4:$B$305, 0)))</f>
        <v/>
      </c>
      <c r="D802" s="8"/>
      <c r="E802" s="8"/>
      <c r="F802" s="13"/>
      <c r="G802" s="14"/>
      <c r="H802" s="9">
        <f>IF(ISBLANK(C802), "", SUMIFS(F$2:F802, C$2:C802, C802) - SUMIFS(G$2:G802, C$2:C802, C802))</f>
        <v>0</v>
      </c>
    </row>
    <row r="803" spans="1:8" ht="18" customHeight="1" x14ac:dyDescent="0.55000000000000004">
      <c r="A803" s="11"/>
      <c r="C803" s="12" t="str">
        <f>IF(ISBLANK(B803), "", INDEX('কাস্টমার তালিকা'!$A$4:$A$305, MATCH(B803, 'কাস্টমার তালিকা'!$B$4:$B$305, 0)))</f>
        <v/>
      </c>
      <c r="D803" s="8"/>
      <c r="E803" s="8"/>
      <c r="F803" s="13"/>
      <c r="G803" s="14"/>
      <c r="H803" s="9">
        <f>IF(ISBLANK(C803), "", SUMIFS(F$2:F803, C$2:C803, C803) - SUMIFS(G$2:G803, C$2:C803, C803))</f>
        <v>0</v>
      </c>
    </row>
    <row r="804" spans="1:8" ht="18" customHeight="1" x14ac:dyDescent="0.55000000000000004">
      <c r="A804" s="11"/>
      <c r="C804" s="12" t="str">
        <f>IF(ISBLANK(B804), "", INDEX('কাস্টমার তালিকা'!$A$4:$A$305, MATCH(B804, 'কাস্টমার তালিকা'!$B$4:$B$305, 0)))</f>
        <v/>
      </c>
      <c r="D804" s="8"/>
      <c r="E804" s="8"/>
      <c r="F804" s="13"/>
      <c r="G804" s="14"/>
      <c r="H804" s="9">
        <f>IF(ISBLANK(C804), "", SUMIFS(F$2:F804, C$2:C804, C804) - SUMIFS(G$2:G804, C$2:C804, C804))</f>
        <v>0</v>
      </c>
    </row>
    <row r="805" spans="1:8" ht="18" customHeight="1" x14ac:dyDescent="0.55000000000000004">
      <c r="A805" s="11"/>
      <c r="C805" s="12" t="str">
        <f>IF(ISBLANK(B805), "", INDEX('কাস্টমার তালিকা'!$A$4:$A$305, MATCH(B805, 'কাস্টমার তালিকা'!$B$4:$B$305, 0)))</f>
        <v/>
      </c>
      <c r="D805" s="8"/>
      <c r="E805" s="8"/>
      <c r="F805" s="13"/>
      <c r="G805" s="14"/>
      <c r="H805" s="9">
        <f>IF(ISBLANK(C805), "", SUMIFS(F$2:F805, C$2:C805, C805) - SUMIFS(G$2:G805, C$2:C805, C805))</f>
        <v>0</v>
      </c>
    </row>
    <row r="806" spans="1:8" ht="18" customHeight="1" x14ac:dyDescent="0.55000000000000004">
      <c r="A806" s="11"/>
      <c r="C806" s="12" t="str">
        <f>IF(ISBLANK(B806), "", INDEX('কাস্টমার তালিকা'!$A$4:$A$305, MATCH(B806, 'কাস্টমার তালিকা'!$B$4:$B$305, 0)))</f>
        <v/>
      </c>
      <c r="D806" s="8"/>
      <c r="E806" s="8"/>
      <c r="F806" s="13"/>
      <c r="G806" s="14"/>
      <c r="H806" s="9">
        <f>IF(ISBLANK(C806), "", SUMIFS(F$2:F806, C$2:C806, C806) - SUMIFS(G$2:G806, C$2:C806, C806))</f>
        <v>0</v>
      </c>
    </row>
    <row r="807" spans="1:8" ht="18" customHeight="1" x14ac:dyDescent="0.55000000000000004">
      <c r="A807" s="11"/>
      <c r="C807" s="12" t="str">
        <f>IF(ISBLANK(B807), "", INDEX('কাস্টমার তালিকা'!$A$4:$A$305, MATCH(B807, 'কাস্টমার তালিকা'!$B$4:$B$305, 0)))</f>
        <v/>
      </c>
      <c r="D807" s="8"/>
      <c r="E807" s="8"/>
      <c r="F807" s="13"/>
      <c r="G807" s="14"/>
      <c r="H807" s="9">
        <f>IF(ISBLANK(C807), "", SUMIFS(F$2:F807, C$2:C807, C807) - SUMIFS(G$2:G807, C$2:C807, C807))</f>
        <v>0</v>
      </c>
    </row>
    <row r="808" spans="1:8" ht="18" customHeight="1" x14ac:dyDescent="0.55000000000000004">
      <c r="A808" s="11"/>
      <c r="C808" s="12" t="str">
        <f>IF(ISBLANK(B808), "", INDEX('কাস্টমার তালিকা'!$A$4:$A$305, MATCH(B808, 'কাস্টমার তালিকা'!$B$4:$B$305, 0)))</f>
        <v/>
      </c>
      <c r="D808" s="8"/>
      <c r="E808" s="8"/>
      <c r="F808" s="13"/>
      <c r="G808" s="14"/>
      <c r="H808" s="9">
        <f>IF(ISBLANK(C808), "", SUMIFS(F$2:F808, C$2:C808, C808) - SUMIFS(G$2:G808, C$2:C808, C808))</f>
        <v>0</v>
      </c>
    </row>
    <row r="809" spans="1:8" ht="18" customHeight="1" x14ac:dyDescent="0.55000000000000004">
      <c r="A809" s="11"/>
      <c r="C809" s="12" t="str">
        <f>IF(ISBLANK(B809), "", INDEX('কাস্টমার তালিকা'!$A$4:$A$305, MATCH(B809, 'কাস্টমার তালিকা'!$B$4:$B$305, 0)))</f>
        <v/>
      </c>
      <c r="D809" s="8"/>
      <c r="E809" s="8"/>
      <c r="F809" s="13"/>
      <c r="G809" s="14"/>
      <c r="H809" s="9">
        <f>IF(ISBLANK(C809), "", SUMIFS(F$2:F809, C$2:C809, C809) - SUMIFS(G$2:G809, C$2:C809, C809))</f>
        <v>0</v>
      </c>
    </row>
    <row r="810" spans="1:8" ht="18" customHeight="1" x14ac:dyDescent="0.55000000000000004">
      <c r="A810" s="11"/>
      <c r="C810" s="12" t="str">
        <f>IF(ISBLANK(B810), "", INDEX('কাস্টমার তালিকা'!$A$4:$A$305, MATCH(B810, 'কাস্টমার তালিকা'!$B$4:$B$305, 0)))</f>
        <v/>
      </c>
      <c r="D810" s="8"/>
      <c r="E810" s="8"/>
      <c r="F810" s="13"/>
      <c r="G810" s="14"/>
      <c r="H810" s="9">
        <f>IF(ISBLANK(C810), "", SUMIFS(F$2:F810, C$2:C810, C810) - SUMIFS(G$2:G810, C$2:C810, C810))</f>
        <v>0</v>
      </c>
    </row>
    <row r="811" spans="1:8" ht="18" customHeight="1" x14ac:dyDescent="0.55000000000000004">
      <c r="A811" s="11"/>
      <c r="C811" s="12" t="str">
        <f>IF(ISBLANK(B811), "", INDEX('কাস্টমার তালিকা'!$A$4:$A$305, MATCH(B811, 'কাস্টমার তালিকা'!$B$4:$B$305, 0)))</f>
        <v/>
      </c>
      <c r="D811" s="8"/>
      <c r="E811" s="8"/>
      <c r="F811" s="13"/>
      <c r="G811" s="14"/>
      <c r="H811" s="9">
        <f>IF(ISBLANK(C811), "", SUMIFS(F$2:F811, C$2:C811, C811) - SUMIFS(G$2:G811, C$2:C811, C811))</f>
        <v>0</v>
      </c>
    </row>
    <row r="812" spans="1:8" ht="18" customHeight="1" x14ac:dyDescent="0.55000000000000004">
      <c r="A812" s="11"/>
      <c r="C812" s="12" t="str">
        <f>IF(ISBLANK(B812), "", INDEX('কাস্টমার তালিকা'!$A$4:$A$305, MATCH(B812, 'কাস্টমার তালিকা'!$B$4:$B$305, 0)))</f>
        <v/>
      </c>
      <c r="D812" s="8"/>
      <c r="E812" s="8"/>
      <c r="F812" s="13"/>
      <c r="G812" s="14"/>
      <c r="H812" s="9">
        <f>IF(ISBLANK(C812), "", SUMIFS(F$2:F812, C$2:C812, C812) - SUMIFS(G$2:G812, C$2:C812, C812))</f>
        <v>0</v>
      </c>
    </row>
    <row r="813" spans="1:8" ht="18" customHeight="1" x14ac:dyDescent="0.55000000000000004">
      <c r="A813" s="11"/>
      <c r="C813" s="12" t="str">
        <f>IF(ISBLANK(B813), "", INDEX('কাস্টমার তালিকা'!$A$4:$A$305, MATCH(B813, 'কাস্টমার তালিকা'!$B$4:$B$305, 0)))</f>
        <v/>
      </c>
      <c r="D813" s="8"/>
      <c r="E813" s="8"/>
      <c r="F813" s="13"/>
      <c r="G813" s="14"/>
      <c r="H813" s="9">
        <f>IF(ISBLANK(C813), "", SUMIFS(F$2:F813, C$2:C813, C813) - SUMIFS(G$2:G813, C$2:C813, C813))</f>
        <v>0</v>
      </c>
    </row>
    <row r="814" spans="1:8" ht="18" customHeight="1" x14ac:dyDescent="0.55000000000000004">
      <c r="A814" s="11"/>
      <c r="C814" s="12" t="str">
        <f>IF(ISBLANK(B814), "", INDEX('কাস্টমার তালিকা'!$A$4:$A$305, MATCH(B814, 'কাস্টমার তালিকা'!$B$4:$B$305, 0)))</f>
        <v/>
      </c>
      <c r="D814" s="8"/>
      <c r="E814" s="8"/>
      <c r="F814" s="13"/>
      <c r="G814" s="14"/>
      <c r="H814" s="9">
        <f>IF(ISBLANK(C814), "", SUMIFS(F$2:F814, C$2:C814, C814) - SUMIFS(G$2:G814, C$2:C814, C814))</f>
        <v>0</v>
      </c>
    </row>
    <row r="815" spans="1:8" ht="18" customHeight="1" x14ac:dyDescent="0.55000000000000004">
      <c r="A815" s="11"/>
      <c r="C815" s="12" t="str">
        <f>IF(ISBLANK(B815), "", INDEX('কাস্টমার তালিকা'!$A$4:$A$305, MATCH(B815, 'কাস্টমার তালিকা'!$B$4:$B$305, 0)))</f>
        <v/>
      </c>
      <c r="D815" s="8"/>
      <c r="E815" s="8"/>
      <c r="F815" s="13"/>
      <c r="G815" s="14"/>
      <c r="H815" s="9">
        <f>IF(ISBLANK(C815), "", SUMIFS(F$2:F815, C$2:C815, C815) - SUMIFS(G$2:G815, C$2:C815, C815))</f>
        <v>0</v>
      </c>
    </row>
    <row r="816" spans="1:8" ht="18" customHeight="1" x14ac:dyDescent="0.55000000000000004">
      <c r="A816" s="11"/>
      <c r="C816" s="12" t="str">
        <f>IF(ISBLANK(B816), "", INDEX('কাস্টমার তালিকা'!$A$4:$A$305, MATCH(B816, 'কাস্টমার তালিকা'!$B$4:$B$305, 0)))</f>
        <v/>
      </c>
      <c r="D816" s="8"/>
      <c r="E816" s="8"/>
      <c r="F816" s="13"/>
      <c r="G816" s="14"/>
      <c r="H816" s="9">
        <f>IF(ISBLANK(C816), "", SUMIFS(F$2:F816, C$2:C816, C816) - SUMIFS(G$2:G816, C$2:C816, C816))</f>
        <v>0</v>
      </c>
    </row>
    <row r="817" spans="1:8" ht="18" customHeight="1" x14ac:dyDescent="0.55000000000000004">
      <c r="A817" s="11"/>
      <c r="C817" s="12" t="str">
        <f>IF(ISBLANK(B817), "", INDEX('কাস্টমার তালিকা'!$A$4:$A$305, MATCH(B817, 'কাস্টমার তালিকা'!$B$4:$B$305, 0)))</f>
        <v/>
      </c>
      <c r="D817" s="8"/>
      <c r="E817" s="8"/>
      <c r="F817" s="13"/>
      <c r="G817" s="14"/>
      <c r="H817" s="9">
        <f>IF(ISBLANK(C817), "", SUMIFS(F$2:F817, C$2:C817, C817) - SUMIFS(G$2:G817, C$2:C817, C817))</f>
        <v>0</v>
      </c>
    </row>
    <row r="818" spans="1:8" ht="18" customHeight="1" x14ac:dyDescent="0.55000000000000004">
      <c r="A818" s="11"/>
      <c r="C818" s="12" t="str">
        <f>IF(ISBLANK(B818), "", INDEX('কাস্টমার তালিকা'!$A$4:$A$305, MATCH(B818, 'কাস্টমার তালিকা'!$B$4:$B$305, 0)))</f>
        <v/>
      </c>
      <c r="D818" s="8"/>
      <c r="E818" s="8"/>
      <c r="F818" s="13"/>
      <c r="G818" s="14"/>
      <c r="H818" s="9">
        <f>IF(ISBLANK(C818), "", SUMIFS(F$2:F818, C$2:C818, C818) - SUMIFS(G$2:G818, C$2:C818, C818))</f>
        <v>0</v>
      </c>
    </row>
    <row r="819" spans="1:8" ht="18" customHeight="1" x14ac:dyDescent="0.55000000000000004">
      <c r="A819" s="11"/>
      <c r="C819" s="12" t="str">
        <f>IF(ISBLANK(B819), "", INDEX('কাস্টমার তালিকা'!$A$4:$A$305, MATCH(B819, 'কাস্টমার তালিকা'!$B$4:$B$305, 0)))</f>
        <v/>
      </c>
      <c r="D819" s="8"/>
      <c r="E819" s="8"/>
      <c r="F819" s="13"/>
      <c r="G819" s="14"/>
      <c r="H819" s="9">
        <f>IF(ISBLANK(C819), "", SUMIFS(F$2:F819, C$2:C819, C819) - SUMIFS(G$2:G819, C$2:C819, C819))</f>
        <v>0</v>
      </c>
    </row>
    <row r="820" spans="1:8" ht="18" customHeight="1" x14ac:dyDescent="0.55000000000000004">
      <c r="A820" s="11"/>
      <c r="C820" s="12" t="str">
        <f>IF(ISBLANK(B820), "", INDEX('কাস্টমার তালিকা'!$A$4:$A$305, MATCH(B820, 'কাস্টমার তালিকা'!$B$4:$B$305, 0)))</f>
        <v/>
      </c>
      <c r="D820" s="8"/>
      <c r="E820" s="8"/>
      <c r="F820" s="13"/>
      <c r="G820" s="14"/>
      <c r="H820" s="9">
        <f>IF(ISBLANK(C820), "", SUMIFS(F$2:F820, C$2:C820, C820) - SUMIFS(G$2:G820, C$2:C820, C820))</f>
        <v>0</v>
      </c>
    </row>
    <row r="821" spans="1:8" ht="18" customHeight="1" x14ac:dyDescent="0.55000000000000004">
      <c r="A821" s="11"/>
      <c r="C821" s="12" t="str">
        <f>IF(ISBLANK(B821), "", INDEX('কাস্টমার তালিকা'!$A$4:$A$305, MATCH(B821, 'কাস্টমার তালিকা'!$B$4:$B$305, 0)))</f>
        <v/>
      </c>
      <c r="D821" s="8"/>
      <c r="E821" s="8"/>
      <c r="F821" s="13"/>
      <c r="G821" s="14"/>
      <c r="H821" s="9">
        <f>IF(ISBLANK(C821), "", SUMIFS(F$2:F821, C$2:C821, C821) - SUMIFS(G$2:G821, C$2:C821, C821))</f>
        <v>0</v>
      </c>
    </row>
    <row r="822" spans="1:8" ht="18" customHeight="1" x14ac:dyDescent="0.55000000000000004">
      <c r="A822" s="11"/>
      <c r="C822" s="12" t="str">
        <f>IF(ISBLANK(B822), "", INDEX('কাস্টমার তালিকা'!$A$4:$A$305, MATCH(B822, 'কাস্টমার তালিকা'!$B$4:$B$305, 0)))</f>
        <v/>
      </c>
      <c r="D822" s="8"/>
      <c r="E822" s="8"/>
      <c r="F822" s="13"/>
      <c r="G822" s="14"/>
      <c r="H822" s="9">
        <f>IF(ISBLANK(C822), "", SUMIFS(F$2:F822, C$2:C822, C822) - SUMIFS(G$2:G822, C$2:C822, C822))</f>
        <v>0</v>
      </c>
    </row>
    <row r="823" spans="1:8" ht="18" customHeight="1" x14ac:dyDescent="0.55000000000000004">
      <c r="A823" s="11"/>
      <c r="C823" s="12" t="str">
        <f>IF(ISBLANK(B823), "", INDEX('কাস্টমার তালিকা'!$A$4:$A$305, MATCH(B823, 'কাস্টমার তালিকা'!$B$4:$B$305, 0)))</f>
        <v/>
      </c>
      <c r="D823" s="8"/>
      <c r="E823" s="8"/>
      <c r="F823" s="13"/>
      <c r="G823" s="14"/>
      <c r="H823" s="9">
        <f>IF(ISBLANK(C823), "", SUMIFS(F$2:F823, C$2:C823, C823) - SUMIFS(G$2:G823, C$2:C823, C823))</f>
        <v>0</v>
      </c>
    </row>
    <row r="824" spans="1:8" ht="18" customHeight="1" x14ac:dyDescent="0.55000000000000004">
      <c r="A824" s="11"/>
      <c r="C824" s="12" t="str">
        <f>IF(ISBLANK(B824), "", INDEX('কাস্টমার তালিকা'!$A$4:$A$305, MATCH(B824, 'কাস্টমার তালিকা'!$B$4:$B$305, 0)))</f>
        <v/>
      </c>
      <c r="D824" s="8"/>
      <c r="E824" s="8"/>
      <c r="F824" s="13"/>
      <c r="G824" s="14"/>
      <c r="H824" s="9">
        <f>IF(ISBLANK(C824), "", SUMIFS(F$2:F824, C$2:C824, C824) - SUMIFS(G$2:G824, C$2:C824, C824))</f>
        <v>0</v>
      </c>
    </row>
    <row r="825" spans="1:8" ht="18" customHeight="1" x14ac:dyDescent="0.55000000000000004">
      <c r="A825" s="11"/>
      <c r="C825" s="12" t="str">
        <f>IF(ISBLANK(B825), "", INDEX('কাস্টমার তালিকা'!$A$4:$A$305, MATCH(B825, 'কাস্টমার তালিকা'!$B$4:$B$305, 0)))</f>
        <v/>
      </c>
      <c r="D825" s="8"/>
      <c r="E825" s="8"/>
      <c r="F825" s="13"/>
      <c r="G825" s="14"/>
      <c r="H825" s="9">
        <f>IF(ISBLANK(C825), "", SUMIFS(F$2:F825, C$2:C825, C825) - SUMIFS(G$2:G825, C$2:C825, C825))</f>
        <v>0</v>
      </c>
    </row>
    <row r="826" spans="1:8" ht="18" customHeight="1" x14ac:dyDescent="0.55000000000000004">
      <c r="A826" s="11"/>
      <c r="C826" s="12" t="str">
        <f>IF(ISBLANK(B826), "", INDEX('কাস্টমার তালিকা'!$A$4:$A$305, MATCH(B826, 'কাস্টমার তালিকা'!$B$4:$B$305, 0)))</f>
        <v/>
      </c>
      <c r="D826" s="8"/>
      <c r="E826" s="8"/>
      <c r="F826" s="13"/>
      <c r="G826" s="14"/>
      <c r="H826" s="9">
        <f>IF(ISBLANK(C826), "", SUMIFS(F$2:F826, C$2:C826, C826) - SUMIFS(G$2:G826, C$2:C826, C826))</f>
        <v>0</v>
      </c>
    </row>
    <row r="827" spans="1:8" ht="18" customHeight="1" x14ac:dyDescent="0.55000000000000004">
      <c r="A827" s="11"/>
      <c r="C827" s="12" t="str">
        <f>IF(ISBLANK(B827), "", INDEX('কাস্টমার তালিকা'!$A$4:$A$305, MATCH(B827, 'কাস্টমার তালিকা'!$B$4:$B$305, 0)))</f>
        <v/>
      </c>
      <c r="D827" s="8"/>
      <c r="E827" s="8"/>
      <c r="F827" s="13"/>
      <c r="G827" s="14"/>
      <c r="H827" s="9">
        <f>IF(ISBLANK(C827), "", SUMIFS(F$2:F827, C$2:C827, C827) - SUMIFS(G$2:G827, C$2:C827, C827))</f>
        <v>0</v>
      </c>
    </row>
    <row r="828" spans="1:8" ht="18" customHeight="1" x14ac:dyDescent="0.55000000000000004">
      <c r="A828" s="11"/>
      <c r="C828" s="12" t="str">
        <f>IF(ISBLANK(B828), "", INDEX('কাস্টমার তালিকা'!$A$4:$A$305, MATCH(B828, 'কাস্টমার তালিকা'!$B$4:$B$305, 0)))</f>
        <v/>
      </c>
      <c r="D828" s="8"/>
      <c r="E828" s="8"/>
      <c r="F828" s="13"/>
      <c r="G828" s="14"/>
      <c r="H828" s="9">
        <f>IF(ISBLANK(C828), "", SUMIFS(F$2:F828, C$2:C828, C828) - SUMIFS(G$2:G828, C$2:C828, C828))</f>
        <v>0</v>
      </c>
    </row>
    <row r="829" spans="1:8" ht="18" customHeight="1" x14ac:dyDescent="0.55000000000000004">
      <c r="A829" s="11"/>
      <c r="C829" s="12" t="str">
        <f>IF(ISBLANK(B829), "", INDEX('কাস্টমার তালিকা'!$A$4:$A$305, MATCH(B829, 'কাস্টমার তালিকা'!$B$4:$B$305, 0)))</f>
        <v/>
      </c>
      <c r="D829" s="8"/>
      <c r="E829" s="8"/>
      <c r="F829" s="13"/>
      <c r="G829" s="14"/>
      <c r="H829" s="9">
        <f>IF(ISBLANK(C829), "", SUMIFS(F$2:F829, C$2:C829, C829) - SUMIFS(G$2:G829, C$2:C829, C829))</f>
        <v>0</v>
      </c>
    </row>
    <row r="830" spans="1:8" ht="18" customHeight="1" x14ac:dyDescent="0.55000000000000004">
      <c r="A830" s="11"/>
      <c r="C830" s="12" t="str">
        <f>IF(ISBLANK(B830), "", INDEX('কাস্টমার তালিকা'!$A$4:$A$305, MATCH(B830, 'কাস্টমার তালিকা'!$B$4:$B$305, 0)))</f>
        <v/>
      </c>
      <c r="D830" s="8"/>
      <c r="E830" s="8"/>
      <c r="F830" s="13"/>
      <c r="G830" s="14"/>
      <c r="H830" s="9">
        <f>IF(ISBLANK(C830), "", SUMIFS(F$2:F830, C$2:C830, C830) - SUMIFS(G$2:G830, C$2:C830, C830))</f>
        <v>0</v>
      </c>
    </row>
    <row r="831" spans="1:8" ht="18" customHeight="1" x14ac:dyDescent="0.55000000000000004">
      <c r="A831" s="11"/>
      <c r="C831" s="12" t="str">
        <f>IF(ISBLANK(B831), "", INDEX('কাস্টমার তালিকা'!$A$4:$A$305, MATCH(B831, 'কাস্টমার তালিকা'!$B$4:$B$305, 0)))</f>
        <v/>
      </c>
      <c r="D831" s="8"/>
      <c r="E831" s="8"/>
      <c r="F831" s="13"/>
      <c r="G831" s="14"/>
      <c r="H831" s="9">
        <f>IF(ISBLANK(C831), "", SUMIFS(F$2:F831, C$2:C831, C831) - SUMIFS(G$2:G831, C$2:C831, C831))</f>
        <v>0</v>
      </c>
    </row>
    <row r="832" spans="1:8" ht="18" customHeight="1" x14ac:dyDescent="0.55000000000000004">
      <c r="A832" s="11"/>
      <c r="C832" s="12" t="str">
        <f>IF(ISBLANK(B832), "", INDEX('কাস্টমার তালিকা'!$A$4:$A$305, MATCH(B832, 'কাস্টমার তালিকা'!$B$4:$B$305, 0)))</f>
        <v/>
      </c>
      <c r="D832" s="8"/>
      <c r="E832" s="8"/>
      <c r="F832" s="13"/>
      <c r="G832" s="14"/>
      <c r="H832" s="9">
        <f>IF(ISBLANK(C832), "", SUMIFS(F$2:F832, C$2:C832, C832) - SUMIFS(G$2:G832, C$2:C832, C832))</f>
        <v>0</v>
      </c>
    </row>
    <row r="833" spans="1:8" ht="18" customHeight="1" x14ac:dyDescent="0.55000000000000004">
      <c r="A833" s="11"/>
      <c r="C833" s="12" t="str">
        <f>IF(ISBLANK(B833), "", INDEX('কাস্টমার তালিকা'!$A$4:$A$305, MATCH(B833, 'কাস্টমার তালিকা'!$B$4:$B$305, 0)))</f>
        <v/>
      </c>
      <c r="D833" s="8"/>
      <c r="E833" s="8"/>
      <c r="F833" s="13"/>
      <c r="G833" s="14"/>
      <c r="H833" s="9">
        <f>IF(ISBLANK(C833), "", SUMIFS(F$2:F833, C$2:C833, C833) - SUMIFS(G$2:G833, C$2:C833, C833))</f>
        <v>0</v>
      </c>
    </row>
    <row r="834" spans="1:8" ht="18" customHeight="1" x14ac:dyDescent="0.55000000000000004">
      <c r="A834" s="11"/>
      <c r="C834" s="12" t="str">
        <f>IF(ISBLANK(B834), "", INDEX('কাস্টমার তালিকা'!$A$4:$A$305, MATCH(B834, 'কাস্টমার তালিকা'!$B$4:$B$305, 0)))</f>
        <v/>
      </c>
      <c r="D834" s="8"/>
      <c r="E834" s="8"/>
      <c r="F834" s="13"/>
      <c r="G834" s="14"/>
      <c r="H834" s="9">
        <f>IF(ISBLANK(C834), "", SUMIFS(F$2:F834, C$2:C834, C834) - SUMIFS(G$2:G834, C$2:C834, C834))</f>
        <v>0</v>
      </c>
    </row>
    <row r="835" spans="1:8" ht="18" customHeight="1" x14ac:dyDescent="0.55000000000000004">
      <c r="A835" s="11"/>
      <c r="C835" s="12" t="str">
        <f>IF(ISBLANK(B835), "", INDEX('কাস্টমার তালিকা'!$A$4:$A$305, MATCH(B835, 'কাস্টমার তালিকা'!$B$4:$B$305, 0)))</f>
        <v/>
      </c>
      <c r="D835" s="8"/>
      <c r="E835" s="8"/>
      <c r="F835" s="13"/>
      <c r="G835" s="14"/>
      <c r="H835" s="9">
        <f>IF(ISBLANK(C835), "", SUMIFS(F$2:F835, C$2:C835, C835) - SUMIFS(G$2:G835, C$2:C835, C835))</f>
        <v>0</v>
      </c>
    </row>
    <row r="836" spans="1:8" ht="18" customHeight="1" x14ac:dyDescent="0.55000000000000004">
      <c r="A836" s="11"/>
      <c r="C836" s="12" t="str">
        <f>IF(ISBLANK(B836), "", INDEX('কাস্টমার তালিকা'!$A$4:$A$305, MATCH(B836, 'কাস্টমার তালিকা'!$B$4:$B$305, 0)))</f>
        <v/>
      </c>
      <c r="D836" s="8"/>
      <c r="E836" s="8"/>
      <c r="F836" s="13"/>
      <c r="G836" s="14"/>
      <c r="H836" s="9">
        <f>IF(ISBLANK(C836), "", SUMIFS(F$2:F836, C$2:C836, C836) - SUMIFS(G$2:G836, C$2:C836, C836))</f>
        <v>0</v>
      </c>
    </row>
    <row r="837" spans="1:8" ht="18" customHeight="1" x14ac:dyDescent="0.55000000000000004">
      <c r="A837" s="11"/>
      <c r="C837" s="12" t="str">
        <f>IF(ISBLANK(B837), "", INDEX('কাস্টমার তালিকা'!$A$4:$A$305, MATCH(B837, 'কাস্টমার তালিকা'!$B$4:$B$305, 0)))</f>
        <v/>
      </c>
      <c r="D837" s="8"/>
      <c r="E837" s="8"/>
      <c r="F837" s="13"/>
      <c r="G837" s="14"/>
      <c r="H837" s="9">
        <f>IF(ISBLANK(C837), "", SUMIFS(F$2:F837, C$2:C837, C837) - SUMIFS(G$2:G837, C$2:C837, C837))</f>
        <v>0</v>
      </c>
    </row>
    <row r="838" spans="1:8" ht="18" customHeight="1" x14ac:dyDescent="0.55000000000000004">
      <c r="A838" s="11"/>
      <c r="C838" s="12" t="str">
        <f>IF(ISBLANK(B838), "", INDEX('কাস্টমার তালিকা'!$A$4:$A$305, MATCH(B838, 'কাস্টমার তালিকা'!$B$4:$B$305, 0)))</f>
        <v/>
      </c>
      <c r="D838" s="8"/>
      <c r="E838" s="8"/>
      <c r="F838" s="13"/>
      <c r="G838" s="14"/>
      <c r="H838" s="9">
        <f>IF(ISBLANK(C838), "", SUMIFS(F$2:F838, C$2:C838, C838) - SUMIFS(G$2:G838, C$2:C838, C838))</f>
        <v>0</v>
      </c>
    </row>
    <row r="839" spans="1:8" ht="18" customHeight="1" x14ac:dyDescent="0.55000000000000004">
      <c r="A839" s="11"/>
      <c r="C839" s="12" t="str">
        <f>IF(ISBLANK(B839), "", INDEX('কাস্টমার তালিকা'!$A$4:$A$305, MATCH(B839, 'কাস্টমার তালিকা'!$B$4:$B$305, 0)))</f>
        <v/>
      </c>
      <c r="D839" s="8"/>
      <c r="E839" s="8"/>
      <c r="F839" s="13"/>
      <c r="G839" s="14"/>
      <c r="H839" s="9">
        <f>IF(ISBLANK(C839), "", SUMIFS(F$2:F839, C$2:C839, C839) - SUMIFS(G$2:G839, C$2:C839, C839))</f>
        <v>0</v>
      </c>
    </row>
    <row r="840" spans="1:8" ht="18" customHeight="1" x14ac:dyDescent="0.55000000000000004">
      <c r="A840" s="11"/>
      <c r="C840" s="12" t="str">
        <f>IF(ISBLANK(B840), "", INDEX('কাস্টমার তালিকা'!$A$4:$A$305, MATCH(B840, 'কাস্টমার তালিকা'!$B$4:$B$305, 0)))</f>
        <v/>
      </c>
      <c r="D840" s="8"/>
      <c r="E840" s="8"/>
      <c r="F840" s="13"/>
      <c r="G840" s="14"/>
      <c r="H840" s="9">
        <f>IF(ISBLANK(C840), "", SUMIFS(F$2:F840, C$2:C840, C840) - SUMIFS(G$2:G840, C$2:C840, C840))</f>
        <v>0</v>
      </c>
    </row>
    <row r="841" spans="1:8" ht="18" customHeight="1" x14ac:dyDescent="0.55000000000000004">
      <c r="A841" s="11"/>
      <c r="C841" s="12" t="str">
        <f>IF(ISBLANK(B841), "", INDEX('কাস্টমার তালিকা'!$A$4:$A$305, MATCH(B841, 'কাস্টমার তালিকা'!$B$4:$B$305, 0)))</f>
        <v/>
      </c>
      <c r="D841" s="8"/>
      <c r="E841" s="8"/>
      <c r="F841" s="13"/>
      <c r="G841" s="14"/>
      <c r="H841" s="9">
        <f>IF(ISBLANK(C841), "", SUMIFS(F$2:F841, C$2:C841, C841) - SUMIFS(G$2:G841, C$2:C841, C841))</f>
        <v>0</v>
      </c>
    </row>
    <row r="842" spans="1:8" ht="18" customHeight="1" x14ac:dyDescent="0.55000000000000004">
      <c r="A842" s="11"/>
      <c r="C842" s="12" t="str">
        <f>IF(ISBLANK(B842), "", INDEX('কাস্টমার তালিকা'!$A$4:$A$305, MATCH(B842, 'কাস্টমার তালিকা'!$B$4:$B$305, 0)))</f>
        <v/>
      </c>
      <c r="D842" s="8"/>
      <c r="E842" s="8"/>
      <c r="F842" s="13"/>
      <c r="G842" s="14"/>
      <c r="H842" s="9">
        <f>IF(ISBLANK(C842), "", SUMIFS(F$2:F842, C$2:C842, C842) - SUMIFS(G$2:G842, C$2:C842, C842))</f>
        <v>0</v>
      </c>
    </row>
    <row r="843" spans="1:8" ht="18" customHeight="1" x14ac:dyDescent="0.55000000000000004">
      <c r="A843" s="11"/>
      <c r="C843" s="12" t="str">
        <f>IF(ISBLANK(B843), "", INDEX('কাস্টমার তালিকা'!$A$4:$A$305, MATCH(B843, 'কাস্টমার তালিকা'!$B$4:$B$305, 0)))</f>
        <v/>
      </c>
      <c r="D843" s="8"/>
      <c r="E843" s="8"/>
      <c r="F843" s="13"/>
      <c r="G843" s="14"/>
      <c r="H843" s="9">
        <f>IF(ISBLANK(C843), "", SUMIFS(F$2:F843, C$2:C843, C843) - SUMIFS(G$2:G843, C$2:C843, C843))</f>
        <v>0</v>
      </c>
    </row>
    <row r="844" spans="1:8" ht="18" customHeight="1" x14ac:dyDescent="0.55000000000000004">
      <c r="A844" s="11"/>
      <c r="C844" s="12" t="str">
        <f>IF(ISBLANK(B844), "", INDEX('কাস্টমার তালিকা'!$A$4:$A$305, MATCH(B844, 'কাস্টমার তালিকা'!$B$4:$B$305, 0)))</f>
        <v/>
      </c>
      <c r="D844" s="8"/>
      <c r="E844" s="8"/>
      <c r="F844" s="13"/>
      <c r="G844" s="14"/>
      <c r="H844" s="9">
        <f>IF(ISBLANK(C844), "", SUMIFS(F$2:F844, C$2:C844, C844) - SUMIFS(G$2:G844, C$2:C844, C844))</f>
        <v>0</v>
      </c>
    </row>
    <row r="845" spans="1:8" ht="18" customHeight="1" x14ac:dyDescent="0.55000000000000004">
      <c r="A845" s="11"/>
      <c r="C845" s="12" t="str">
        <f>IF(ISBLANK(B845), "", INDEX('কাস্টমার তালিকা'!$A$4:$A$305, MATCH(B845, 'কাস্টমার তালিকা'!$B$4:$B$305, 0)))</f>
        <v/>
      </c>
      <c r="D845" s="8"/>
      <c r="E845" s="8"/>
      <c r="F845" s="13"/>
      <c r="G845" s="14"/>
      <c r="H845" s="9">
        <f>IF(ISBLANK(C845), "", SUMIFS(F$2:F845, C$2:C845, C845) - SUMIFS(G$2:G845, C$2:C845, C845))</f>
        <v>0</v>
      </c>
    </row>
    <row r="846" spans="1:8" ht="18" customHeight="1" x14ac:dyDescent="0.55000000000000004">
      <c r="A846" s="11"/>
      <c r="C846" s="12" t="str">
        <f>IF(ISBLANK(B846), "", INDEX('কাস্টমার তালিকা'!$A$4:$A$305, MATCH(B846, 'কাস্টমার তালিকা'!$B$4:$B$305, 0)))</f>
        <v/>
      </c>
      <c r="D846" s="8"/>
      <c r="E846" s="8"/>
      <c r="F846" s="13"/>
      <c r="G846" s="14"/>
      <c r="H846" s="9">
        <f>IF(ISBLANK(C846), "", SUMIFS(F$2:F846, C$2:C846, C846) - SUMIFS(G$2:G846, C$2:C846, C846))</f>
        <v>0</v>
      </c>
    </row>
    <row r="847" spans="1:8" ht="18" customHeight="1" x14ac:dyDescent="0.55000000000000004">
      <c r="A847" s="11"/>
      <c r="C847" s="12" t="str">
        <f>IF(ISBLANK(B847), "", INDEX('কাস্টমার তালিকা'!$A$4:$A$305, MATCH(B847, 'কাস্টমার তালিকা'!$B$4:$B$305, 0)))</f>
        <v/>
      </c>
      <c r="D847" s="8"/>
      <c r="E847" s="8"/>
      <c r="F847" s="13"/>
      <c r="G847" s="14"/>
      <c r="H847" s="9">
        <f>IF(ISBLANK(C847), "", SUMIFS(F$2:F847, C$2:C847, C847) - SUMIFS(G$2:G847, C$2:C847, C847))</f>
        <v>0</v>
      </c>
    </row>
    <row r="848" spans="1:8" ht="18" customHeight="1" x14ac:dyDescent="0.55000000000000004">
      <c r="A848" s="11"/>
      <c r="C848" s="12" t="str">
        <f>IF(ISBLANK(B848), "", INDEX('কাস্টমার তালিকা'!$A$4:$A$305, MATCH(B848, 'কাস্টমার তালিকা'!$B$4:$B$305, 0)))</f>
        <v/>
      </c>
      <c r="D848" s="8"/>
      <c r="E848" s="8"/>
      <c r="F848" s="13"/>
      <c r="G848" s="14"/>
      <c r="H848" s="9">
        <f>IF(ISBLANK(C848), "", SUMIFS(F$2:F848, C$2:C848, C848) - SUMIFS(G$2:G848, C$2:C848, C848))</f>
        <v>0</v>
      </c>
    </row>
    <row r="849" spans="1:8" ht="18" customHeight="1" x14ac:dyDescent="0.55000000000000004">
      <c r="A849" s="11"/>
      <c r="C849" s="12" t="str">
        <f>IF(ISBLANK(B849), "", INDEX('কাস্টমার তালিকা'!$A$4:$A$305, MATCH(B849, 'কাস্টমার তালিকা'!$B$4:$B$305, 0)))</f>
        <v/>
      </c>
      <c r="D849" s="8"/>
      <c r="E849" s="8"/>
      <c r="F849" s="13"/>
      <c r="G849" s="14"/>
      <c r="H849" s="9">
        <f>IF(ISBLANK(C849), "", SUMIFS(F$2:F849, C$2:C849, C849) - SUMIFS(G$2:G849, C$2:C849, C849))</f>
        <v>0</v>
      </c>
    </row>
    <row r="850" spans="1:8" ht="18" customHeight="1" x14ac:dyDescent="0.55000000000000004">
      <c r="A850" s="11"/>
      <c r="C850" s="12" t="str">
        <f>IF(ISBLANK(B850), "", INDEX('কাস্টমার তালিকা'!$A$4:$A$305, MATCH(B850, 'কাস্টমার তালিকা'!$B$4:$B$305, 0)))</f>
        <v/>
      </c>
      <c r="D850" s="8"/>
      <c r="E850" s="8"/>
      <c r="F850" s="13"/>
      <c r="G850" s="14"/>
      <c r="H850" s="9">
        <f>IF(ISBLANK(C850), "", SUMIFS(F$2:F850, C$2:C850, C850) - SUMIFS(G$2:G850, C$2:C850, C850))</f>
        <v>0</v>
      </c>
    </row>
    <row r="851" spans="1:8" ht="18" customHeight="1" x14ac:dyDescent="0.55000000000000004">
      <c r="A851" s="11"/>
      <c r="C851" s="12" t="str">
        <f>IF(ISBLANK(B851), "", INDEX('কাস্টমার তালিকা'!$A$4:$A$305, MATCH(B851, 'কাস্টমার তালিকা'!$B$4:$B$305, 0)))</f>
        <v/>
      </c>
      <c r="D851" s="8"/>
      <c r="E851" s="8"/>
      <c r="F851" s="13"/>
      <c r="G851" s="14"/>
      <c r="H851" s="9">
        <f>IF(ISBLANK(C851), "", SUMIFS(F$2:F851, C$2:C851, C851) - SUMIFS(G$2:G851, C$2:C851, C851))</f>
        <v>0</v>
      </c>
    </row>
    <row r="852" spans="1:8" ht="18" customHeight="1" x14ac:dyDescent="0.55000000000000004">
      <c r="A852" s="11"/>
      <c r="C852" s="12" t="str">
        <f>IF(ISBLANK(B852), "", INDEX('কাস্টমার তালিকা'!$A$4:$A$305, MATCH(B852, 'কাস্টমার তালিকা'!$B$4:$B$305, 0)))</f>
        <v/>
      </c>
      <c r="D852" s="8"/>
      <c r="E852" s="8"/>
      <c r="F852" s="13"/>
      <c r="G852" s="14"/>
      <c r="H852" s="9">
        <f>IF(ISBLANK(C852), "", SUMIFS(F$2:F852, C$2:C852, C852) - SUMIFS(G$2:G852, C$2:C852, C852))</f>
        <v>0</v>
      </c>
    </row>
    <row r="853" spans="1:8" ht="18" customHeight="1" x14ac:dyDescent="0.55000000000000004">
      <c r="A853" s="11"/>
      <c r="C853" s="12" t="str">
        <f>IF(ISBLANK(B853), "", INDEX('কাস্টমার তালিকা'!$A$4:$A$305, MATCH(B853, 'কাস্টমার তালিকা'!$B$4:$B$305, 0)))</f>
        <v/>
      </c>
      <c r="D853" s="8"/>
      <c r="E853" s="8"/>
      <c r="F853" s="13"/>
      <c r="G853" s="14"/>
      <c r="H853" s="9">
        <f>IF(ISBLANK(C853), "", SUMIFS(F$2:F853, C$2:C853, C853) - SUMIFS(G$2:G853, C$2:C853, C853))</f>
        <v>0</v>
      </c>
    </row>
    <row r="854" spans="1:8" ht="18" customHeight="1" x14ac:dyDescent="0.55000000000000004">
      <c r="A854" s="11"/>
      <c r="C854" s="12" t="str">
        <f>IF(ISBLANK(B854), "", INDEX('কাস্টমার তালিকা'!$A$4:$A$305, MATCH(B854, 'কাস্টমার তালিকা'!$B$4:$B$305, 0)))</f>
        <v/>
      </c>
      <c r="D854" s="8"/>
      <c r="E854" s="8"/>
      <c r="F854" s="13"/>
      <c r="G854" s="14"/>
      <c r="H854" s="9">
        <f>IF(ISBLANK(C854), "", SUMIFS(F$2:F854, C$2:C854, C854) - SUMIFS(G$2:G854, C$2:C854, C854))</f>
        <v>0</v>
      </c>
    </row>
    <row r="855" spans="1:8" ht="18" customHeight="1" x14ac:dyDescent="0.55000000000000004">
      <c r="A855" s="11"/>
      <c r="C855" s="12" t="str">
        <f>IF(ISBLANK(B855), "", INDEX('কাস্টমার তালিকা'!$A$4:$A$305, MATCH(B855, 'কাস্টমার তালিকা'!$B$4:$B$305, 0)))</f>
        <v/>
      </c>
      <c r="D855" s="8"/>
      <c r="E855" s="8"/>
      <c r="F855" s="13"/>
      <c r="G855" s="14"/>
      <c r="H855" s="9">
        <f>IF(ISBLANK(C855), "", SUMIFS(F$2:F855, C$2:C855, C855) - SUMIFS(G$2:G855, C$2:C855, C855))</f>
        <v>0</v>
      </c>
    </row>
    <row r="856" spans="1:8" ht="18" customHeight="1" x14ac:dyDescent="0.55000000000000004">
      <c r="A856" s="11"/>
      <c r="C856" s="12" t="str">
        <f>IF(ISBLANK(B856), "", INDEX('কাস্টমার তালিকা'!$A$4:$A$305, MATCH(B856, 'কাস্টমার তালিকা'!$B$4:$B$305, 0)))</f>
        <v/>
      </c>
      <c r="D856" s="8"/>
      <c r="E856" s="8"/>
      <c r="F856" s="13"/>
      <c r="G856" s="14"/>
      <c r="H856" s="9">
        <f>IF(ISBLANK(C856), "", SUMIFS(F$2:F856, C$2:C856, C856) - SUMIFS(G$2:G856, C$2:C856, C856))</f>
        <v>0</v>
      </c>
    </row>
    <row r="857" spans="1:8" ht="18" customHeight="1" x14ac:dyDescent="0.55000000000000004">
      <c r="A857" s="11"/>
      <c r="C857" s="12" t="str">
        <f>IF(ISBLANK(B857), "", INDEX('কাস্টমার তালিকা'!$A$4:$A$305, MATCH(B857, 'কাস্টমার তালিকা'!$B$4:$B$305, 0)))</f>
        <v/>
      </c>
      <c r="D857" s="8"/>
      <c r="E857" s="8"/>
      <c r="F857" s="13"/>
      <c r="G857" s="14"/>
      <c r="H857" s="9">
        <f>IF(ISBLANK(C857), "", SUMIFS(F$2:F857, C$2:C857, C857) - SUMIFS(G$2:G857, C$2:C857, C857))</f>
        <v>0</v>
      </c>
    </row>
    <row r="858" spans="1:8" ht="18" customHeight="1" x14ac:dyDescent="0.55000000000000004">
      <c r="A858" s="11"/>
      <c r="C858" s="12" t="str">
        <f>IF(ISBLANK(B858), "", INDEX('কাস্টমার তালিকা'!$A$4:$A$305, MATCH(B858, 'কাস্টমার তালিকা'!$B$4:$B$305, 0)))</f>
        <v/>
      </c>
      <c r="D858" s="8"/>
      <c r="E858" s="8"/>
      <c r="F858" s="13"/>
      <c r="G858" s="14"/>
      <c r="H858" s="9">
        <f>IF(ISBLANK(C858), "", SUMIFS(F$2:F858, C$2:C858, C858) - SUMIFS(G$2:G858, C$2:C858, C858))</f>
        <v>0</v>
      </c>
    </row>
    <row r="859" spans="1:8" ht="18" customHeight="1" x14ac:dyDescent="0.55000000000000004">
      <c r="A859" s="11"/>
      <c r="C859" s="12" t="str">
        <f>IF(ISBLANK(B859), "", INDEX('কাস্টমার তালিকা'!$A$4:$A$305, MATCH(B859, 'কাস্টমার তালিকা'!$B$4:$B$305, 0)))</f>
        <v/>
      </c>
      <c r="D859" s="8"/>
      <c r="E859" s="8"/>
      <c r="F859" s="13"/>
      <c r="G859" s="14"/>
      <c r="H859" s="9">
        <f>IF(ISBLANK(C859), "", SUMIFS(F$2:F859, C$2:C859, C859) - SUMIFS(G$2:G859, C$2:C859, C859))</f>
        <v>0</v>
      </c>
    </row>
    <row r="860" spans="1:8" ht="18" customHeight="1" x14ac:dyDescent="0.55000000000000004">
      <c r="A860" s="11"/>
      <c r="C860" s="12" t="str">
        <f>IF(ISBLANK(B860), "", INDEX('কাস্টমার তালিকা'!$A$4:$A$305, MATCH(B860, 'কাস্টমার তালিকা'!$B$4:$B$305, 0)))</f>
        <v/>
      </c>
      <c r="D860" s="8"/>
      <c r="E860" s="8"/>
      <c r="F860" s="13"/>
      <c r="G860" s="14"/>
      <c r="H860" s="9">
        <f>IF(ISBLANK(C860), "", SUMIFS(F$2:F860, C$2:C860, C860) - SUMIFS(G$2:G860, C$2:C860, C860))</f>
        <v>0</v>
      </c>
    </row>
    <row r="861" spans="1:8" ht="18" customHeight="1" x14ac:dyDescent="0.55000000000000004">
      <c r="A861" s="11"/>
      <c r="C861" s="12" t="str">
        <f>IF(ISBLANK(B861), "", INDEX('কাস্টমার তালিকা'!$A$4:$A$305, MATCH(B861, 'কাস্টমার তালিকা'!$B$4:$B$305, 0)))</f>
        <v/>
      </c>
      <c r="D861" s="8"/>
      <c r="E861" s="8"/>
      <c r="F861" s="13"/>
      <c r="G861" s="14"/>
      <c r="H861" s="9">
        <f>IF(ISBLANK(C861), "", SUMIFS(F$2:F861, C$2:C861, C861) - SUMIFS(G$2:G861, C$2:C861, C861))</f>
        <v>0</v>
      </c>
    </row>
    <row r="862" spans="1:8" ht="18" customHeight="1" x14ac:dyDescent="0.55000000000000004">
      <c r="A862" s="11"/>
      <c r="C862" s="12" t="str">
        <f>IF(ISBLANK(B862), "", INDEX('কাস্টমার তালিকা'!$A$4:$A$305, MATCH(B862, 'কাস্টমার তালিকা'!$B$4:$B$305, 0)))</f>
        <v/>
      </c>
      <c r="D862" s="8"/>
      <c r="E862" s="8"/>
      <c r="F862" s="13"/>
      <c r="G862" s="14"/>
      <c r="H862" s="9">
        <f>IF(ISBLANK(C862), "", SUMIFS(F$2:F862, C$2:C862, C862) - SUMIFS(G$2:G862, C$2:C862, C862))</f>
        <v>0</v>
      </c>
    </row>
    <row r="863" spans="1:8" ht="18" customHeight="1" x14ac:dyDescent="0.55000000000000004">
      <c r="A863" s="11"/>
      <c r="C863" s="12" t="str">
        <f>IF(ISBLANK(B863), "", INDEX('কাস্টমার তালিকা'!$A$4:$A$305, MATCH(B863, 'কাস্টমার তালিকা'!$B$4:$B$305, 0)))</f>
        <v/>
      </c>
      <c r="D863" s="8"/>
      <c r="E863" s="8"/>
      <c r="F863" s="13"/>
      <c r="G863" s="14"/>
      <c r="H863" s="9">
        <f>IF(ISBLANK(C863), "", SUMIFS(F$2:F863, C$2:C863, C863) - SUMIFS(G$2:G863, C$2:C863, C863))</f>
        <v>0</v>
      </c>
    </row>
    <row r="864" spans="1:8" ht="18" customHeight="1" x14ac:dyDescent="0.55000000000000004">
      <c r="A864" s="11"/>
      <c r="C864" s="12" t="str">
        <f>IF(ISBLANK(B864), "", INDEX('কাস্টমার তালিকা'!$A$4:$A$305, MATCH(B864, 'কাস্টমার তালিকা'!$B$4:$B$305, 0)))</f>
        <v/>
      </c>
      <c r="D864" s="8"/>
      <c r="E864" s="8"/>
      <c r="F864" s="13"/>
      <c r="G864" s="14"/>
      <c r="H864" s="9">
        <f>IF(ISBLANK(C864), "", SUMIFS(F$2:F864, C$2:C864, C864) - SUMIFS(G$2:G864, C$2:C864, C864))</f>
        <v>0</v>
      </c>
    </row>
    <row r="865" spans="1:8" ht="18" customHeight="1" x14ac:dyDescent="0.55000000000000004">
      <c r="A865" s="11"/>
      <c r="C865" s="12" t="str">
        <f>IF(ISBLANK(B865), "", INDEX('কাস্টমার তালিকা'!$A$4:$A$305, MATCH(B865, 'কাস্টমার তালিকা'!$B$4:$B$305, 0)))</f>
        <v/>
      </c>
      <c r="D865" s="8"/>
      <c r="E865" s="8"/>
      <c r="F865" s="13"/>
      <c r="G865" s="14"/>
      <c r="H865" s="9">
        <f>IF(ISBLANK(C865), "", SUMIFS(F$2:F865, C$2:C865, C865) - SUMIFS(G$2:G865, C$2:C865, C865))</f>
        <v>0</v>
      </c>
    </row>
    <row r="866" spans="1:8" ht="18" customHeight="1" x14ac:dyDescent="0.55000000000000004">
      <c r="A866" s="11"/>
      <c r="C866" s="12" t="str">
        <f>IF(ISBLANK(B866), "", INDEX('কাস্টমার তালিকা'!$A$4:$A$305, MATCH(B866, 'কাস্টমার তালিকা'!$B$4:$B$305, 0)))</f>
        <v/>
      </c>
      <c r="D866" s="8"/>
      <c r="E866" s="8"/>
      <c r="F866" s="13"/>
      <c r="G866" s="14"/>
      <c r="H866" s="9">
        <f>IF(ISBLANK(C866), "", SUMIFS(F$2:F866, C$2:C866, C866) - SUMIFS(G$2:G866, C$2:C866, C866))</f>
        <v>0</v>
      </c>
    </row>
    <row r="867" spans="1:8" ht="18" customHeight="1" x14ac:dyDescent="0.55000000000000004">
      <c r="A867" s="11"/>
      <c r="C867" s="12" t="str">
        <f>IF(ISBLANK(B867), "", INDEX('কাস্টমার তালিকা'!$A$4:$A$305, MATCH(B867, 'কাস্টমার তালিকা'!$B$4:$B$305, 0)))</f>
        <v/>
      </c>
      <c r="D867" s="8"/>
      <c r="E867" s="8"/>
      <c r="F867" s="13"/>
      <c r="G867" s="14"/>
      <c r="H867" s="9">
        <f>IF(ISBLANK(C867), "", SUMIFS(F$2:F867, C$2:C867, C867) - SUMIFS(G$2:G867, C$2:C867, C867))</f>
        <v>0</v>
      </c>
    </row>
    <row r="868" spans="1:8" ht="18" customHeight="1" x14ac:dyDescent="0.55000000000000004">
      <c r="A868" s="11"/>
      <c r="C868" s="12" t="str">
        <f>IF(ISBLANK(B868), "", INDEX('কাস্টমার তালিকা'!$A$4:$A$305, MATCH(B868, 'কাস্টমার তালিকা'!$B$4:$B$305, 0)))</f>
        <v/>
      </c>
      <c r="D868" s="8"/>
      <c r="E868" s="8"/>
      <c r="F868" s="13"/>
      <c r="G868" s="14"/>
      <c r="H868" s="9">
        <f>IF(ISBLANK(C868), "", SUMIFS(F$2:F868, C$2:C868, C868) - SUMIFS(G$2:G868, C$2:C868, C868))</f>
        <v>0</v>
      </c>
    </row>
    <row r="869" spans="1:8" ht="18" customHeight="1" x14ac:dyDescent="0.55000000000000004">
      <c r="A869" s="11"/>
      <c r="C869" s="12" t="str">
        <f>IF(ISBLANK(B869), "", INDEX('কাস্টমার তালিকা'!$A$4:$A$305, MATCH(B869, 'কাস্টমার তালিকা'!$B$4:$B$305, 0)))</f>
        <v/>
      </c>
      <c r="D869" s="8"/>
      <c r="E869" s="8"/>
      <c r="F869" s="13"/>
      <c r="G869" s="14"/>
      <c r="H869" s="9">
        <f>IF(ISBLANK(C869), "", SUMIFS(F$2:F869, C$2:C869, C869) - SUMIFS(G$2:G869, C$2:C869, C869))</f>
        <v>0</v>
      </c>
    </row>
    <row r="870" spans="1:8" ht="18" customHeight="1" x14ac:dyDescent="0.55000000000000004">
      <c r="A870" s="11"/>
      <c r="C870" s="12" t="str">
        <f>IF(ISBLANK(B870), "", INDEX('কাস্টমার তালিকা'!$A$4:$A$305, MATCH(B870, 'কাস্টমার তালিকা'!$B$4:$B$305, 0)))</f>
        <v/>
      </c>
      <c r="D870" s="8"/>
      <c r="E870" s="8"/>
      <c r="F870" s="13"/>
      <c r="G870" s="14"/>
      <c r="H870" s="9">
        <f>IF(ISBLANK(C870), "", SUMIFS(F$2:F870, C$2:C870, C870) - SUMIFS(G$2:G870, C$2:C870, C870))</f>
        <v>0</v>
      </c>
    </row>
    <row r="871" spans="1:8" ht="18" customHeight="1" x14ac:dyDescent="0.55000000000000004">
      <c r="A871" s="11"/>
      <c r="C871" s="12" t="str">
        <f>IF(ISBLANK(B871), "", INDEX('কাস্টমার তালিকা'!$A$4:$A$305, MATCH(B871, 'কাস্টমার তালিকা'!$B$4:$B$305, 0)))</f>
        <v/>
      </c>
      <c r="D871" s="8"/>
      <c r="E871" s="8"/>
      <c r="F871" s="13"/>
      <c r="G871" s="14"/>
      <c r="H871" s="9">
        <f>IF(ISBLANK(C871), "", SUMIFS(F$2:F871, C$2:C871, C871) - SUMIFS(G$2:G871, C$2:C871, C871))</f>
        <v>0</v>
      </c>
    </row>
    <row r="872" spans="1:8" ht="18" customHeight="1" x14ac:dyDescent="0.55000000000000004">
      <c r="A872" s="11"/>
      <c r="C872" s="12" t="str">
        <f>IF(ISBLANK(B872), "", INDEX('কাস্টমার তালিকা'!$A$4:$A$305, MATCH(B872, 'কাস্টমার তালিকা'!$B$4:$B$305, 0)))</f>
        <v/>
      </c>
      <c r="D872" s="8"/>
      <c r="E872" s="8"/>
      <c r="F872" s="13"/>
      <c r="G872" s="14"/>
      <c r="H872" s="9">
        <f>IF(ISBLANK(C872), "", SUMIFS(F$2:F872, C$2:C872, C872) - SUMIFS(G$2:G872, C$2:C872, C872))</f>
        <v>0</v>
      </c>
    </row>
    <row r="873" spans="1:8" ht="18" customHeight="1" x14ac:dyDescent="0.55000000000000004">
      <c r="A873" s="11"/>
      <c r="C873" s="12" t="str">
        <f>IF(ISBLANK(B873), "", INDEX('কাস্টমার তালিকা'!$A$4:$A$305, MATCH(B873, 'কাস্টমার তালিকা'!$B$4:$B$305, 0)))</f>
        <v/>
      </c>
      <c r="D873" s="8"/>
      <c r="E873" s="8"/>
      <c r="F873" s="13"/>
      <c r="G873" s="14"/>
      <c r="H873" s="9">
        <f>IF(ISBLANK(C873), "", SUMIFS(F$2:F873, C$2:C873, C873) - SUMIFS(G$2:G873, C$2:C873, C873))</f>
        <v>0</v>
      </c>
    </row>
    <row r="874" spans="1:8" ht="18" customHeight="1" x14ac:dyDescent="0.55000000000000004">
      <c r="A874" s="11"/>
      <c r="C874" s="12" t="str">
        <f>IF(ISBLANK(B874), "", INDEX('কাস্টমার তালিকা'!$A$4:$A$305, MATCH(B874, 'কাস্টমার তালিকা'!$B$4:$B$305, 0)))</f>
        <v/>
      </c>
      <c r="D874" s="8"/>
      <c r="E874" s="8"/>
      <c r="F874" s="13"/>
      <c r="G874" s="14"/>
      <c r="H874" s="9">
        <f>IF(ISBLANK(C874), "", SUMIFS(F$2:F874, C$2:C874, C874) - SUMIFS(G$2:G874, C$2:C874, C874))</f>
        <v>0</v>
      </c>
    </row>
    <row r="875" spans="1:8" ht="18" customHeight="1" x14ac:dyDescent="0.55000000000000004">
      <c r="A875" s="11"/>
      <c r="C875" s="12" t="str">
        <f>IF(ISBLANK(B875), "", INDEX('কাস্টমার তালিকা'!$A$4:$A$305, MATCH(B875, 'কাস্টমার তালিকা'!$B$4:$B$305, 0)))</f>
        <v/>
      </c>
      <c r="D875" s="8"/>
      <c r="E875" s="8"/>
      <c r="F875" s="13"/>
      <c r="G875" s="14"/>
      <c r="H875" s="9">
        <f>IF(ISBLANK(C875), "", SUMIFS(F$2:F875, C$2:C875, C875) - SUMIFS(G$2:G875, C$2:C875, C875))</f>
        <v>0</v>
      </c>
    </row>
    <row r="876" spans="1:8" ht="18" customHeight="1" x14ac:dyDescent="0.55000000000000004">
      <c r="A876" s="11"/>
      <c r="C876" s="12" t="str">
        <f>IF(ISBLANK(B876), "", INDEX('কাস্টমার তালিকা'!$A$4:$A$305, MATCH(B876, 'কাস্টমার তালিকা'!$B$4:$B$305, 0)))</f>
        <v/>
      </c>
      <c r="D876" s="8"/>
      <c r="E876" s="8"/>
      <c r="F876" s="13"/>
      <c r="G876" s="14"/>
      <c r="H876" s="9">
        <f>IF(ISBLANK(C876), "", SUMIFS(F$2:F876, C$2:C876, C876) - SUMIFS(G$2:G876, C$2:C876, C876))</f>
        <v>0</v>
      </c>
    </row>
    <row r="877" spans="1:8" ht="18" customHeight="1" x14ac:dyDescent="0.55000000000000004">
      <c r="A877" s="11"/>
      <c r="C877" s="12" t="str">
        <f>IF(ISBLANK(B877), "", INDEX('কাস্টমার তালিকা'!$A$4:$A$305, MATCH(B877, 'কাস্টমার তালিকা'!$B$4:$B$305, 0)))</f>
        <v/>
      </c>
      <c r="D877" s="8"/>
      <c r="E877" s="8"/>
      <c r="F877" s="13"/>
      <c r="G877" s="14"/>
      <c r="H877" s="9">
        <f>IF(ISBLANK(C877), "", SUMIFS(F$2:F877, C$2:C877, C877) - SUMIFS(G$2:G877, C$2:C877, C877))</f>
        <v>0</v>
      </c>
    </row>
    <row r="878" spans="1:8" ht="18" customHeight="1" x14ac:dyDescent="0.55000000000000004">
      <c r="A878" s="11"/>
      <c r="C878" s="12" t="str">
        <f>IF(ISBLANK(B878), "", INDEX('কাস্টমার তালিকা'!$A$4:$A$305, MATCH(B878, 'কাস্টমার তালিকা'!$B$4:$B$305, 0)))</f>
        <v/>
      </c>
      <c r="D878" s="8"/>
      <c r="E878" s="8"/>
      <c r="F878" s="13"/>
      <c r="G878" s="14"/>
      <c r="H878" s="9">
        <f>IF(ISBLANK(C878), "", SUMIFS(F$2:F878, C$2:C878, C878) - SUMIFS(G$2:G878, C$2:C878, C878))</f>
        <v>0</v>
      </c>
    </row>
    <row r="879" spans="1:8" ht="18" customHeight="1" x14ac:dyDescent="0.55000000000000004">
      <c r="A879" s="11"/>
      <c r="C879" s="12" t="str">
        <f>IF(ISBLANK(B879), "", INDEX('কাস্টমার তালিকা'!$A$4:$A$305, MATCH(B879, 'কাস্টমার তালিকা'!$B$4:$B$305, 0)))</f>
        <v/>
      </c>
      <c r="D879" s="8"/>
      <c r="E879" s="8"/>
      <c r="F879" s="13"/>
      <c r="G879" s="14"/>
      <c r="H879" s="9">
        <f>IF(ISBLANK(C879), "", SUMIFS(F$2:F879, C$2:C879, C879) - SUMIFS(G$2:G879, C$2:C879, C879))</f>
        <v>0</v>
      </c>
    </row>
    <row r="880" spans="1:8" ht="18" customHeight="1" x14ac:dyDescent="0.55000000000000004">
      <c r="A880" s="11"/>
      <c r="C880" s="12" t="str">
        <f>IF(ISBLANK(B880), "", INDEX('কাস্টমার তালিকা'!$A$4:$A$305, MATCH(B880, 'কাস্টমার তালিকা'!$B$4:$B$305, 0)))</f>
        <v/>
      </c>
      <c r="D880" s="8"/>
      <c r="E880" s="8"/>
      <c r="F880" s="13"/>
      <c r="G880" s="14"/>
      <c r="H880" s="9">
        <f>IF(ISBLANK(C880), "", SUMIFS(F$2:F880, C$2:C880, C880) - SUMIFS(G$2:G880, C$2:C880, C880))</f>
        <v>0</v>
      </c>
    </row>
    <row r="881" spans="1:8" ht="18" customHeight="1" x14ac:dyDescent="0.55000000000000004">
      <c r="A881" s="11"/>
      <c r="C881" s="12" t="str">
        <f>IF(ISBLANK(B881), "", INDEX('কাস্টমার তালিকা'!$A$4:$A$305, MATCH(B881, 'কাস্টমার তালিকা'!$B$4:$B$305, 0)))</f>
        <v/>
      </c>
      <c r="D881" s="8"/>
      <c r="E881" s="8"/>
      <c r="F881" s="13"/>
      <c r="G881" s="14"/>
      <c r="H881" s="9">
        <f>IF(ISBLANK(C881), "", SUMIFS(F$2:F881, C$2:C881, C881) - SUMIFS(G$2:G881, C$2:C881, C881))</f>
        <v>0</v>
      </c>
    </row>
    <row r="882" spans="1:8" ht="18" customHeight="1" x14ac:dyDescent="0.55000000000000004">
      <c r="A882" s="11"/>
      <c r="C882" s="12" t="str">
        <f>IF(ISBLANK(B882), "", INDEX('কাস্টমার তালিকা'!$A$4:$A$305, MATCH(B882, 'কাস্টমার তালিকা'!$B$4:$B$305, 0)))</f>
        <v/>
      </c>
      <c r="D882" s="8"/>
      <c r="E882" s="8"/>
      <c r="F882" s="13"/>
      <c r="G882" s="14"/>
      <c r="H882" s="9">
        <f>IF(ISBLANK(C882), "", SUMIFS(F$2:F882, C$2:C882, C882) - SUMIFS(G$2:G882, C$2:C882, C882))</f>
        <v>0</v>
      </c>
    </row>
    <row r="883" spans="1:8" ht="18" customHeight="1" x14ac:dyDescent="0.55000000000000004">
      <c r="A883" s="11"/>
      <c r="C883" s="12" t="str">
        <f>IF(ISBLANK(B883), "", INDEX('কাস্টমার তালিকা'!$A$4:$A$305, MATCH(B883, 'কাস্টমার তালিকা'!$B$4:$B$305, 0)))</f>
        <v/>
      </c>
      <c r="D883" s="8"/>
      <c r="E883" s="8"/>
      <c r="F883" s="13"/>
      <c r="G883" s="14"/>
      <c r="H883" s="9">
        <f>IF(ISBLANK(C883), "", SUMIFS(F$2:F883, C$2:C883, C883) - SUMIFS(G$2:G883, C$2:C883, C883))</f>
        <v>0</v>
      </c>
    </row>
    <row r="884" spans="1:8" ht="18" customHeight="1" x14ac:dyDescent="0.55000000000000004">
      <c r="A884" s="11"/>
      <c r="C884" s="12" t="str">
        <f>IF(ISBLANK(B884), "", INDEX('কাস্টমার তালিকা'!$A$4:$A$305, MATCH(B884, 'কাস্টমার তালিকা'!$B$4:$B$305, 0)))</f>
        <v/>
      </c>
      <c r="D884" s="8"/>
      <c r="E884" s="8"/>
      <c r="F884" s="13"/>
      <c r="G884" s="14"/>
      <c r="H884" s="9">
        <f>IF(ISBLANK(C884), "", SUMIFS(F$2:F884, C$2:C884, C884) - SUMIFS(G$2:G884, C$2:C884, C884))</f>
        <v>0</v>
      </c>
    </row>
    <row r="885" spans="1:8" ht="18" customHeight="1" x14ac:dyDescent="0.55000000000000004">
      <c r="A885" s="11"/>
      <c r="C885" s="12" t="str">
        <f>IF(ISBLANK(B885), "", INDEX('কাস্টমার তালিকা'!$A$4:$A$305, MATCH(B885, 'কাস্টমার তালিকা'!$B$4:$B$305, 0)))</f>
        <v/>
      </c>
      <c r="D885" s="8"/>
      <c r="E885" s="8"/>
      <c r="F885" s="13"/>
      <c r="G885" s="14"/>
      <c r="H885" s="9">
        <f>IF(ISBLANK(C885), "", SUMIFS(F$2:F885, C$2:C885, C885) - SUMIFS(G$2:G885, C$2:C885, C885))</f>
        <v>0</v>
      </c>
    </row>
    <row r="886" spans="1:8" ht="18" customHeight="1" x14ac:dyDescent="0.55000000000000004">
      <c r="A886" s="11"/>
      <c r="C886" s="12" t="str">
        <f>IF(ISBLANK(B886), "", INDEX('কাস্টমার তালিকা'!$A$4:$A$305, MATCH(B886, 'কাস্টমার তালিকা'!$B$4:$B$305, 0)))</f>
        <v/>
      </c>
      <c r="D886" s="8"/>
      <c r="E886" s="8"/>
      <c r="F886" s="13"/>
      <c r="G886" s="14"/>
      <c r="H886" s="9">
        <f>IF(ISBLANK(C886), "", SUMIFS(F$2:F886, C$2:C886, C886) - SUMIFS(G$2:G886, C$2:C886, C886))</f>
        <v>0</v>
      </c>
    </row>
    <row r="887" spans="1:8" ht="18" customHeight="1" x14ac:dyDescent="0.55000000000000004">
      <c r="A887" s="11"/>
      <c r="C887" s="12" t="str">
        <f>IF(ISBLANK(B887), "", INDEX('কাস্টমার তালিকা'!$A$4:$A$305, MATCH(B887, 'কাস্টমার তালিকা'!$B$4:$B$305, 0)))</f>
        <v/>
      </c>
      <c r="D887" s="8"/>
      <c r="E887" s="8"/>
      <c r="F887" s="13"/>
      <c r="G887" s="14"/>
      <c r="H887" s="9">
        <f>IF(ISBLANK(C887), "", SUMIFS(F$2:F887, C$2:C887, C887) - SUMIFS(G$2:G887, C$2:C887, C887))</f>
        <v>0</v>
      </c>
    </row>
    <row r="888" spans="1:8" ht="18" customHeight="1" x14ac:dyDescent="0.55000000000000004">
      <c r="A888" s="11"/>
      <c r="C888" s="12" t="str">
        <f>IF(ISBLANK(B888), "", INDEX('কাস্টমার তালিকা'!$A$4:$A$305, MATCH(B888, 'কাস্টমার তালিকা'!$B$4:$B$305, 0)))</f>
        <v/>
      </c>
      <c r="D888" s="8"/>
      <c r="E888" s="8"/>
      <c r="F888" s="13"/>
      <c r="G888" s="14"/>
      <c r="H888" s="9">
        <f>IF(ISBLANK(C888), "", SUMIFS(F$2:F888, C$2:C888, C888) - SUMIFS(G$2:G888, C$2:C888, C888))</f>
        <v>0</v>
      </c>
    </row>
    <row r="889" spans="1:8" ht="18" customHeight="1" x14ac:dyDescent="0.55000000000000004">
      <c r="A889" s="11"/>
      <c r="C889" s="12" t="str">
        <f>IF(ISBLANK(B889), "", INDEX('কাস্টমার তালিকা'!$A$4:$A$305, MATCH(B889, 'কাস্টমার তালিকা'!$B$4:$B$305, 0)))</f>
        <v/>
      </c>
      <c r="D889" s="8"/>
      <c r="E889" s="8"/>
      <c r="F889" s="13"/>
      <c r="G889" s="14"/>
      <c r="H889" s="9">
        <f>IF(ISBLANK(C889), "", SUMIFS(F$2:F889, C$2:C889, C889) - SUMIFS(G$2:G889, C$2:C889, C889))</f>
        <v>0</v>
      </c>
    </row>
    <row r="890" spans="1:8" ht="18" customHeight="1" x14ac:dyDescent="0.55000000000000004">
      <c r="A890" s="11"/>
      <c r="C890" s="12" t="str">
        <f>IF(ISBLANK(B890), "", INDEX('কাস্টমার তালিকা'!$A$4:$A$305, MATCH(B890, 'কাস্টমার তালিকা'!$B$4:$B$305, 0)))</f>
        <v/>
      </c>
      <c r="D890" s="8"/>
      <c r="E890" s="8"/>
      <c r="F890" s="13"/>
      <c r="G890" s="14"/>
      <c r="H890" s="9">
        <f>IF(ISBLANK(C890), "", SUMIFS(F$2:F890, C$2:C890, C890) - SUMIFS(G$2:G890, C$2:C890, C890))</f>
        <v>0</v>
      </c>
    </row>
    <row r="891" spans="1:8" ht="18" customHeight="1" x14ac:dyDescent="0.55000000000000004">
      <c r="A891" s="11"/>
      <c r="C891" s="12" t="str">
        <f>IF(ISBLANK(B891), "", INDEX('কাস্টমার তালিকা'!$A$4:$A$305, MATCH(B891, 'কাস্টমার তালিকা'!$B$4:$B$305, 0)))</f>
        <v/>
      </c>
      <c r="D891" s="8"/>
      <c r="E891" s="8"/>
      <c r="F891" s="13"/>
      <c r="G891" s="14"/>
      <c r="H891" s="9">
        <f>IF(ISBLANK(C891), "", SUMIFS(F$2:F891, C$2:C891, C891) - SUMIFS(G$2:G891, C$2:C891, C891))</f>
        <v>0</v>
      </c>
    </row>
    <row r="892" spans="1:8" ht="18" customHeight="1" x14ac:dyDescent="0.55000000000000004">
      <c r="A892" s="11"/>
      <c r="C892" s="12" t="str">
        <f>IF(ISBLANK(B892), "", INDEX('কাস্টমার তালিকা'!$A$4:$A$305, MATCH(B892, 'কাস্টমার তালিকা'!$B$4:$B$305, 0)))</f>
        <v/>
      </c>
      <c r="D892" s="8"/>
      <c r="E892" s="8"/>
      <c r="F892" s="13"/>
      <c r="G892" s="14"/>
      <c r="H892" s="9">
        <f>IF(ISBLANK(C892), "", SUMIFS(F$2:F892, C$2:C892, C892) - SUMIFS(G$2:G892, C$2:C892, C892))</f>
        <v>0</v>
      </c>
    </row>
    <row r="893" spans="1:8" ht="18" customHeight="1" x14ac:dyDescent="0.55000000000000004">
      <c r="A893" s="11"/>
      <c r="C893" s="12" t="str">
        <f>IF(ISBLANK(B893), "", INDEX('কাস্টমার তালিকা'!$A$4:$A$305, MATCH(B893, 'কাস্টমার তালিকা'!$B$4:$B$305, 0)))</f>
        <v/>
      </c>
      <c r="D893" s="8"/>
      <c r="E893" s="8"/>
      <c r="F893" s="13"/>
      <c r="G893" s="14"/>
      <c r="H893" s="9">
        <f>IF(ISBLANK(C893), "", SUMIFS(F$2:F893, C$2:C893, C893) - SUMIFS(G$2:G893, C$2:C893, C893))</f>
        <v>0</v>
      </c>
    </row>
    <row r="894" spans="1:8" ht="18" customHeight="1" x14ac:dyDescent="0.55000000000000004">
      <c r="A894" s="11"/>
      <c r="C894" s="12" t="str">
        <f>IF(ISBLANK(B894), "", INDEX('কাস্টমার তালিকা'!$A$4:$A$305, MATCH(B894, 'কাস্টমার তালিকা'!$B$4:$B$305, 0)))</f>
        <v/>
      </c>
      <c r="D894" s="8"/>
      <c r="E894" s="8"/>
      <c r="F894" s="13"/>
      <c r="G894" s="14"/>
      <c r="H894" s="9">
        <f>IF(ISBLANK(C894), "", SUMIFS(F$2:F894, C$2:C894, C894) - SUMIFS(G$2:G894, C$2:C894, C894))</f>
        <v>0</v>
      </c>
    </row>
    <row r="895" spans="1:8" ht="18" customHeight="1" x14ac:dyDescent="0.55000000000000004">
      <c r="A895" s="11"/>
      <c r="C895" s="12" t="str">
        <f>IF(ISBLANK(B895), "", INDEX('কাস্টমার তালিকা'!$A$4:$A$305, MATCH(B895, 'কাস্টমার তালিকা'!$B$4:$B$305, 0)))</f>
        <v/>
      </c>
      <c r="D895" s="8"/>
      <c r="E895" s="8"/>
      <c r="F895" s="13"/>
      <c r="G895" s="14"/>
      <c r="H895" s="9">
        <f>IF(ISBLANK(C895), "", SUMIFS(F$2:F895, C$2:C895, C895) - SUMIFS(G$2:G895, C$2:C895, C895))</f>
        <v>0</v>
      </c>
    </row>
    <row r="896" spans="1:8" ht="18" customHeight="1" x14ac:dyDescent="0.55000000000000004">
      <c r="A896" s="11"/>
      <c r="C896" s="12" t="str">
        <f>IF(ISBLANK(B896), "", INDEX('কাস্টমার তালিকা'!$A$4:$A$305, MATCH(B896, 'কাস্টমার তালিকা'!$B$4:$B$305, 0)))</f>
        <v/>
      </c>
      <c r="D896" s="8"/>
      <c r="E896" s="8"/>
      <c r="F896" s="13"/>
      <c r="G896" s="14"/>
      <c r="H896" s="9">
        <f>IF(ISBLANK(C896), "", SUMIFS(F$2:F896, C$2:C896, C896) - SUMIFS(G$2:G896, C$2:C896, C896))</f>
        <v>0</v>
      </c>
    </row>
    <row r="897" spans="1:8" ht="18" customHeight="1" x14ac:dyDescent="0.55000000000000004">
      <c r="A897" s="11"/>
      <c r="C897" s="12" t="str">
        <f>IF(ISBLANK(B897), "", INDEX('কাস্টমার তালিকা'!$A$4:$A$305, MATCH(B897, 'কাস্টমার তালিকা'!$B$4:$B$305, 0)))</f>
        <v/>
      </c>
      <c r="D897" s="8"/>
      <c r="E897" s="8"/>
      <c r="F897" s="13"/>
      <c r="G897" s="14"/>
      <c r="H897" s="9">
        <f>IF(ISBLANK(C897), "", SUMIFS(F$2:F897, C$2:C897, C897) - SUMIFS(G$2:G897, C$2:C897, C897))</f>
        <v>0</v>
      </c>
    </row>
    <row r="898" spans="1:8" ht="18" customHeight="1" x14ac:dyDescent="0.55000000000000004">
      <c r="A898" s="11"/>
      <c r="C898" s="12" t="str">
        <f>IF(ISBLANK(B898), "", INDEX('কাস্টমার তালিকা'!$A$4:$A$305, MATCH(B898, 'কাস্টমার তালিকা'!$B$4:$B$305, 0)))</f>
        <v/>
      </c>
      <c r="D898" s="8"/>
      <c r="E898" s="8"/>
      <c r="F898" s="13"/>
      <c r="G898" s="14"/>
      <c r="H898" s="9">
        <f>IF(ISBLANK(C898), "", SUMIFS(F$2:F898, C$2:C898, C898) - SUMIFS(G$2:G898, C$2:C898, C898))</f>
        <v>0</v>
      </c>
    </row>
    <row r="899" spans="1:8" ht="18" customHeight="1" x14ac:dyDescent="0.55000000000000004">
      <c r="A899" s="11"/>
      <c r="C899" s="12" t="str">
        <f>IF(ISBLANK(B899), "", INDEX('কাস্টমার তালিকা'!$A$4:$A$305, MATCH(B899, 'কাস্টমার তালিকা'!$B$4:$B$305, 0)))</f>
        <v/>
      </c>
      <c r="D899" s="8"/>
      <c r="E899" s="8"/>
      <c r="F899" s="13"/>
      <c r="G899" s="14"/>
      <c r="H899" s="9">
        <f>IF(ISBLANK(C899), "", SUMIFS(F$2:F899, C$2:C899, C899) - SUMIFS(G$2:G899, C$2:C899, C899))</f>
        <v>0</v>
      </c>
    </row>
    <row r="900" spans="1:8" ht="18" customHeight="1" x14ac:dyDescent="0.55000000000000004">
      <c r="A900" s="11"/>
      <c r="C900" s="12" t="str">
        <f>IF(ISBLANK(B900), "", INDEX('কাস্টমার তালিকা'!$A$4:$A$305, MATCH(B900, 'কাস্টমার তালিকা'!$B$4:$B$305, 0)))</f>
        <v/>
      </c>
      <c r="D900" s="8"/>
      <c r="E900" s="8"/>
      <c r="F900" s="13"/>
      <c r="G900" s="14"/>
      <c r="H900" s="9">
        <f>IF(ISBLANK(C900), "", SUMIFS(F$2:F900, C$2:C900, C900) - SUMIFS(G$2:G900, C$2:C900, C900))</f>
        <v>0</v>
      </c>
    </row>
    <row r="901" spans="1:8" ht="18" customHeight="1" x14ac:dyDescent="0.55000000000000004">
      <c r="A901" s="11"/>
      <c r="C901" s="12" t="str">
        <f>IF(ISBLANK(B901), "", INDEX('কাস্টমার তালিকা'!$A$4:$A$305, MATCH(B901, 'কাস্টমার তালিকা'!$B$4:$B$305, 0)))</f>
        <v/>
      </c>
      <c r="D901" s="8"/>
      <c r="E901" s="8"/>
      <c r="F901" s="13"/>
      <c r="G901" s="14"/>
      <c r="H901" s="9">
        <f>IF(ISBLANK(C901), "", SUMIFS(F$2:F901, C$2:C901, C901) - SUMIFS(G$2:G901, C$2:C901, C901))</f>
        <v>0</v>
      </c>
    </row>
    <row r="902" spans="1:8" ht="18" customHeight="1" x14ac:dyDescent="0.55000000000000004">
      <c r="A902" s="11"/>
      <c r="C902" s="12" t="str">
        <f>IF(ISBLANK(B902), "", INDEX('কাস্টমার তালিকা'!$A$4:$A$305, MATCH(B902, 'কাস্টমার তালিকা'!$B$4:$B$305, 0)))</f>
        <v/>
      </c>
      <c r="D902" s="8"/>
      <c r="E902" s="8"/>
      <c r="F902" s="13"/>
      <c r="G902" s="14"/>
      <c r="H902" s="9">
        <f>IF(ISBLANK(C902), "", SUMIFS(F$2:F902, C$2:C902, C902) - SUMIFS(G$2:G902, C$2:C902, C902))</f>
        <v>0</v>
      </c>
    </row>
    <row r="903" spans="1:8" ht="18" customHeight="1" x14ac:dyDescent="0.55000000000000004">
      <c r="A903" s="11"/>
      <c r="C903" s="12" t="str">
        <f>IF(ISBLANK(B903), "", INDEX('কাস্টমার তালিকা'!$A$4:$A$305, MATCH(B903, 'কাস্টমার তালিকা'!$B$4:$B$305, 0)))</f>
        <v/>
      </c>
      <c r="D903" s="8"/>
      <c r="E903" s="8"/>
      <c r="F903" s="13"/>
      <c r="G903" s="14"/>
      <c r="H903" s="9">
        <f>IF(ISBLANK(C903), "", SUMIFS(F$2:F903, C$2:C903, C903) - SUMIFS(G$2:G903, C$2:C903, C903))</f>
        <v>0</v>
      </c>
    </row>
    <row r="904" spans="1:8" ht="18" customHeight="1" x14ac:dyDescent="0.55000000000000004">
      <c r="A904" s="11"/>
      <c r="C904" s="12" t="str">
        <f>IF(ISBLANK(B904), "", INDEX('কাস্টমার তালিকা'!$A$4:$A$305, MATCH(B904, 'কাস্টমার তালিকা'!$B$4:$B$305, 0)))</f>
        <v/>
      </c>
      <c r="D904" s="8"/>
      <c r="E904" s="8"/>
      <c r="F904" s="13"/>
      <c r="G904" s="14"/>
      <c r="H904" s="9">
        <f>IF(ISBLANK(C904), "", SUMIFS(F$2:F904, C$2:C904, C904) - SUMIFS(G$2:G904, C$2:C904, C904))</f>
        <v>0</v>
      </c>
    </row>
    <row r="905" spans="1:8" ht="18" customHeight="1" x14ac:dyDescent="0.55000000000000004">
      <c r="A905" s="11"/>
      <c r="C905" s="12" t="str">
        <f>IF(ISBLANK(B905), "", INDEX('কাস্টমার তালিকা'!$A$4:$A$305, MATCH(B905, 'কাস্টমার তালিকা'!$B$4:$B$305, 0)))</f>
        <v/>
      </c>
      <c r="D905" s="8"/>
      <c r="E905" s="8"/>
      <c r="F905" s="13"/>
      <c r="G905" s="14"/>
      <c r="H905" s="9">
        <f>IF(ISBLANK(C905), "", SUMIFS(F$2:F905, C$2:C905, C905) - SUMIFS(G$2:G905, C$2:C905, C905))</f>
        <v>0</v>
      </c>
    </row>
    <row r="906" spans="1:8" ht="18" customHeight="1" x14ac:dyDescent="0.55000000000000004">
      <c r="A906" s="11"/>
      <c r="C906" s="12" t="str">
        <f>IF(ISBLANK(B906), "", INDEX('কাস্টমার তালিকা'!$A$4:$A$305, MATCH(B906, 'কাস্টমার তালিকা'!$B$4:$B$305, 0)))</f>
        <v/>
      </c>
      <c r="D906" s="8"/>
      <c r="E906" s="8"/>
      <c r="F906" s="13"/>
      <c r="G906" s="14"/>
      <c r="H906" s="9">
        <f>IF(ISBLANK(C906), "", SUMIFS(F$2:F906, C$2:C906, C906) - SUMIFS(G$2:G906, C$2:C906, C906))</f>
        <v>0</v>
      </c>
    </row>
    <row r="907" spans="1:8" ht="18" customHeight="1" x14ac:dyDescent="0.55000000000000004">
      <c r="A907" s="11"/>
      <c r="C907" s="12" t="str">
        <f>IF(ISBLANK(B907), "", INDEX('কাস্টমার তালিকা'!$A$4:$A$305, MATCH(B907, 'কাস্টমার তালিকা'!$B$4:$B$305, 0)))</f>
        <v/>
      </c>
      <c r="D907" s="8"/>
      <c r="E907" s="8"/>
      <c r="F907" s="13"/>
      <c r="G907" s="14"/>
      <c r="H907" s="9">
        <f>IF(ISBLANK(C907), "", SUMIFS(F$2:F907, C$2:C907, C907) - SUMIFS(G$2:G907, C$2:C907, C907))</f>
        <v>0</v>
      </c>
    </row>
    <row r="908" spans="1:8" ht="18" customHeight="1" x14ac:dyDescent="0.55000000000000004">
      <c r="A908" s="11"/>
      <c r="C908" s="12" t="str">
        <f>IF(ISBLANK(B908), "", INDEX('কাস্টমার তালিকা'!$A$4:$A$305, MATCH(B908, 'কাস্টমার তালিকা'!$B$4:$B$305, 0)))</f>
        <v/>
      </c>
      <c r="D908" s="8"/>
      <c r="E908" s="8"/>
      <c r="F908" s="13"/>
      <c r="G908" s="14"/>
      <c r="H908" s="9">
        <f>IF(ISBLANK(C908), "", SUMIFS(F$2:F908, C$2:C908, C908) - SUMIFS(G$2:G908, C$2:C908, C908))</f>
        <v>0</v>
      </c>
    </row>
    <row r="909" spans="1:8" ht="18" customHeight="1" x14ac:dyDescent="0.55000000000000004">
      <c r="A909" s="11"/>
      <c r="C909" s="12" t="str">
        <f>IF(ISBLANK(B909), "", INDEX('কাস্টমার তালিকা'!$A$4:$A$305, MATCH(B909, 'কাস্টমার তালিকা'!$B$4:$B$305, 0)))</f>
        <v/>
      </c>
      <c r="D909" s="8"/>
      <c r="E909" s="8"/>
      <c r="F909" s="13"/>
      <c r="G909" s="14"/>
      <c r="H909" s="9">
        <f>IF(ISBLANK(C909), "", SUMIFS(F$2:F909, C$2:C909, C909) - SUMIFS(G$2:G909, C$2:C909, C909))</f>
        <v>0</v>
      </c>
    </row>
    <row r="910" spans="1:8" ht="18" customHeight="1" x14ac:dyDescent="0.55000000000000004">
      <c r="A910" s="11"/>
      <c r="C910" s="12" t="str">
        <f>IF(ISBLANK(B910), "", INDEX('কাস্টমার তালিকা'!$A$4:$A$305, MATCH(B910, 'কাস্টমার তালিকা'!$B$4:$B$305, 0)))</f>
        <v/>
      </c>
      <c r="D910" s="8"/>
      <c r="E910" s="8"/>
      <c r="F910" s="13"/>
      <c r="G910" s="14"/>
      <c r="H910" s="9">
        <f>IF(ISBLANK(C910), "", SUMIFS(F$2:F910, C$2:C910, C910) - SUMIFS(G$2:G910, C$2:C910, C910))</f>
        <v>0</v>
      </c>
    </row>
    <row r="911" spans="1:8" ht="18" customHeight="1" x14ac:dyDescent="0.55000000000000004">
      <c r="A911" s="11"/>
      <c r="C911" s="12" t="str">
        <f>IF(ISBLANK(B911), "", INDEX('কাস্টমার তালিকা'!$A$4:$A$305, MATCH(B911, 'কাস্টমার তালিকা'!$B$4:$B$305, 0)))</f>
        <v/>
      </c>
      <c r="D911" s="8"/>
      <c r="E911" s="8"/>
      <c r="F911" s="13"/>
      <c r="G911" s="14"/>
      <c r="H911" s="9">
        <f>IF(ISBLANK(C911), "", SUMIFS(F$2:F911, C$2:C911, C911) - SUMIFS(G$2:G911, C$2:C911, C911))</f>
        <v>0</v>
      </c>
    </row>
    <row r="912" spans="1:8" ht="18" customHeight="1" x14ac:dyDescent="0.55000000000000004">
      <c r="A912" s="11"/>
      <c r="C912" s="12" t="str">
        <f>IF(ISBLANK(B912), "", INDEX('কাস্টমার তালিকা'!$A$4:$A$305, MATCH(B912, 'কাস্টমার তালিকা'!$B$4:$B$305, 0)))</f>
        <v/>
      </c>
      <c r="D912" s="8"/>
      <c r="E912" s="8"/>
      <c r="F912" s="13"/>
      <c r="G912" s="14"/>
      <c r="H912" s="9">
        <f>IF(ISBLANK(C912), "", SUMIFS(F$2:F912, C$2:C912, C912) - SUMIFS(G$2:G912, C$2:C912, C912))</f>
        <v>0</v>
      </c>
    </row>
    <row r="913" spans="1:8" ht="18" customHeight="1" x14ac:dyDescent="0.55000000000000004">
      <c r="A913" s="11"/>
      <c r="C913" s="12" t="str">
        <f>IF(ISBLANK(B913), "", INDEX('কাস্টমার তালিকা'!$A$4:$A$305, MATCH(B913, 'কাস্টমার তালিকা'!$B$4:$B$305, 0)))</f>
        <v/>
      </c>
      <c r="D913" s="8"/>
      <c r="E913" s="8"/>
      <c r="F913" s="13"/>
      <c r="G913" s="14"/>
      <c r="H913" s="9">
        <f>IF(ISBLANK(C913), "", SUMIFS(F$2:F913, C$2:C913, C913) - SUMIFS(G$2:G913, C$2:C913, C913))</f>
        <v>0</v>
      </c>
    </row>
    <row r="914" spans="1:8" ht="18" customHeight="1" x14ac:dyDescent="0.55000000000000004">
      <c r="A914" s="11"/>
      <c r="C914" s="12" t="str">
        <f>IF(ISBLANK(B914), "", INDEX('কাস্টমার তালিকা'!$A$4:$A$305, MATCH(B914, 'কাস্টমার তালিকা'!$B$4:$B$305, 0)))</f>
        <v/>
      </c>
      <c r="D914" s="8"/>
      <c r="E914" s="8"/>
      <c r="F914" s="13"/>
      <c r="G914" s="14"/>
      <c r="H914" s="9">
        <f>IF(ISBLANK(C914), "", SUMIFS(F$2:F914, C$2:C914, C914) - SUMIFS(G$2:G914, C$2:C914, C914))</f>
        <v>0</v>
      </c>
    </row>
    <row r="915" spans="1:8" ht="18" customHeight="1" x14ac:dyDescent="0.55000000000000004">
      <c r="A915" s="11"/>
      <c r="C915" s="12" t="str">
        <f>IF(ISBLANK(B915), "", INDEX('কাস্টমার তালিকা'!$A$4:$A$305, MATCH(B915, 'কাস্টমার তালিকা'!$B$4:$B$305, 0)))</f>
        <v/>
      </c>
      <c r="D915" s="8"/>
      <c r="E915" s="8"/>
      <c r="F915" s="13"/>
      <c r="G915" s="14"/>
      <c r="H915" s="9">
        <f>IF(ISBLANK(C915), "", SUMIFS(F$2:F915, C$2:C915, C915) - SUMIFS(G$2:G915, C$2:C915, C915))</f>
        <v>0</v>
      </c>
    </row>
    <row r="916" spans="1:8" ht="18" customHeight="1" x14ac:dyDescent="0.55000000000000004">
      <c r="A916" s="11"/>
      <c r="C916" s="12" t="str">
        <f>IF(ISBLANK(B916), "", INDEX('কাস্টমার তালিকা'!$A$4:$A$305, MATCH(B916, 'কাস্টমার তালিকা'!$B$4:$B$305, 0)))</f>
        <v/>
      </c>
      <c r="D916" s="8"/>
      <c r="E916" s="8"/>
      <c r="F916" s="13"/>
      <c r="G916" s="14"/>
      <c r="H916" s="9">
        <f>IF(ISBLANK(C916), "", SUMIFS(F$2:F916, C$2:C916, C916) - SUMIFS(G$2:G916, C$2:C916, C916))</f>
        <v>0</v>
      </c>
    </row>
    <row r="917" spans="1:8" ht="18" customHeight="1" x14ac:dyDescent="0.55000000000000004">
      <c r="A917" s="11"/>
      <c r="C917" s="12" t="str">
        <f>IF(ISBLANK(B917), "", INDEX('কাস্টমার তালিকা'!$A$4:$A$305, MATCH(B917, 'কাস্টমার তালিকা'!$B$4:$B$305, 0)))</f>
        <v/>
      </c>
      <c r="D917" s="8"/>
      <c r="E917" s="8"/>
      <c r="F917" s="13"/>
      <c r="G917" s="14"/>
      <c r="H917" s="9">
        <f>IF(ISBLANK(C917), "", SUMIFS(F$2:F917, C$2:C917, C917) - SUMIFS(G$2:G917, C$2:C917, C917))</f>
        <v>0</v>
      </c>
    </row>
    <row r="918" spans="1:8" ht="18" customHeight="1" x14ac:dyDescent="0.55000000000000004">
      <c r="A918" s="11"/>
      <c r="C918" s="12" t="str">
        <f>IF(ISBLANK(B918), "", INDEX('কাস্টমার তালিকা'!$A$4:$A$305, MATCH(B918, 'কাস্টমার তালিকা'!$B$4:$B$305, 0)))</f>
        <v/>
      </c>
      <c r="D918" s="8"/>
      <c r="E918" s="8"/>
      <c r="F918" s="13"/>
      <c r="G918" s="14"/>
      <c r="H918" s="9">
        <f>IF(ISBLANK(C918), "", SUMIFS(F$2:F918, C$2:C918, C918) - SUMIFS(G$2:G918, C$2:C918, C918))</f>
        <v>0</v>
      </c>
    </row>
    <row r="919" spans="1:8" ht="18" customHeight="1" x14ac:dyDescent="0.55000000000000004">
      <c r="A919" s="11"/>
      <c r="C919" s="12" t="str">
        <f>IF(ISBLANK(B919), "", INDEX('কাস্টমার তালিকা'!$A$4:$A$305, MATCH(B919, 'কাস্টমার তালিকা'!$B$4:$B$305, 0)))</f>
        <v/>
      </c>
      <c r="D919" s="8"/>
      <c r="E919" s="8"/>
      <c r="F919" s="13"/>
      <c r="G919" s="14"/>
      <c r="H919" s="9">
        <f>IF(ISBLANK(C919), "", SUMIFS(F$2:F919, C$2:C919, C919) - SUMIFS(G$2:G919, C$2:C919, C919))</f>
        <v>0</v>
      </c>
    </row>
    <row r="920" spans="1:8" ht="18" customHeight="1" x14ac:dyDescent="0.55000000000000004">
      <c r="A920" s="11"/>
      <c r="C920" s="12" t="str">
        <f>IF(ISBLANK(B920), "", INDEX('কাস্টমার তালিকা'!$A$4:$A$305, MATCH(B920, 'কাস্টমার তালিকা'!$B$4:$B$305, 0)))</f>
        <v/>
      </c>
      <c r="D920" s="8"/>
      <c r="E920" s="8"/>
      <c r="F920" s="13"/>
      <c r="G920" s="14"/>
      <c r="H920" s="9">
        <f>IF(ISBLANK(C920), "", SUMIFS(F$2:F920, C$2:C920, C920) - SUMIFS(G$2:G920, C$2:C920, C920))</f>
        <v>0</v>
      </c>
    </row>
    <row r="921" spans="1:8" ht="18" customHeight="1" x14ac:dyDescent="0.55000000000000004">
      <c r="A921" s="11"/>
      <c r="C921" s="12" t="str">
        <f>IF(ISBLANK(B921), "", INDEX('কাস্টমার তালিকা'!$A$4:$A$305, MATCH(B921, 'কাস্টমার তালিকা'!$B$4:$B$305, 0)))</f>
        <v/>
      </c>
      <c r="D921" s="8"/>
      <c r="E921" s="8"/>
      <c r="F921" s="13"/>
      <c r="G921" s="14"/>
      <c r="H921" s="9">
        <f>IF(ISBLANK(C921), "", SUMIFS(F$2:F921, C$2:C921, C921) - SUMIFS(G$2:G921, C$2:C921, C921))</f>
        <v>0</v>
      </c>
    </row>
    <row r="922" spans="1:8" ht="18" customHeight="1" x14ac:dyDescent="0.55000000000000004">
      <c r="A922" s="11"/>
      <c r="C922" s="12" t="str">
        <f>IF(ISBLANK(B922), "", INDEX('কাস্টমার তালিকা'!$A$4:$A$305, MATCH(B922, 'কাস্টমার তালিকা'!$B$4:$B$305, 0)))</f>
        <v/>
      </c>
      <c r="D922" s="8"/>
      <c r="E922" s="8"/>
      <c r="F922" s="13"/>
      <c r="G922" s="14"/>
      <c r="H922" s="9">
        <f>IF(ISBLANK(C922), "", SUMIFS(F$2:F922, C$2:C922, C922) - SUMIFS(G$2:G922, C$2:C922, C922))</f>
        <v>0</v>
      </c>
    </row>
    <row r="923" spans="1:8" ht="18" customHeight="1" x14ac:dyDescent="0.55000000000000004">
      <c r="A923" s="11"/>
      <c r="C923" s="12" t="str">
        <f>IF(ISBLANK(B923), "", INDEX('কাস্টমার তালিকা'!$A$4:$A$305, MATCH(B923, 'কাস্টমার তালিকা'!$B$4:$B$305, 0)))</f>
        <v/>
      </c>
      <c r="D923" s="8"/>
      <c r="E923" s="8"/>
      <c r="F923" s="13"/>
      <c r="G923" s="14"/>
      <c r="H923" s="9">
        <f>IF(ISBLANK(C923), "", SUMIFS(F$2:F923, C$2:C923, C923) - SUMIFS(G$2:G923, C$2:C923, C923))</f>
        <v>0</v>
      </c>
    </row>
    <row r="924" spans="1:8" ht="18" customHeight="1" x14ac:dyDescent="0.55000000000000004">
      <c r="A924" s="11"/>
      <c r="C924" s="12" t="str">
        <f>IF(ISBLANK(B924), "", INDEX('কাস্টমার তালিকা'!$A$4:$A$305, MATCH(B924, 'কাস্টমার তালিকা'!$B$4:$B$305, 0)))</f>
        <v/>
      </c>
      <c r="D924" s="8"/>
      <c r="E924" s="8"/>
      <c r="F924" s="13"/>
      <c r="G924" s="14"/>
      <c r="H924" s="9">
        <f>IF(ISBLANK(C924), "", SUMIFS(F$2:F924, C$2:C924, C924) - SUMIFS(G$2:G924, C$2:C924, C924))</f>
        <v>0</v>
      </c>
    </row>
    <row r="925" spans="1:8" ht="18" customHeight="1" x14ac:dyDescent="0.55000000000000004">
      <c r="A925" s="11"/>
      <c r="C925" s="12" t="str">
        <f>IF(ISBLANK(B925), "", INDEX('কাস্টমার তালিকা'!$A$4:$A$305, MATCH(B925, 'কাস্টমার তালিকা'!$B$4:$B$305, 0)))</f>
        <v/>
      </c>
      <c r="D925" s="8"/>
      <c r="E925" s="8"/>
      <c r="F925" s="13"/>
      <c r="G925" s="14"/>
      <c r="H925" s="9">
        <f>IF(ISBLANK(C925), "", SUMIFS(F$2:F925, C$2:C925, C925) - SUMIFS(G$2:G925, C$2:C925, C925))</f>
        <v>0</v>
      </c>
    </row>
    <row r="926" spans="1:8" ht="18" customHeight="1" x14ac:dyDescent="0.55000000000000004">
      <c r="A926" s="11"/>
      <c r="C926" s="12" t="str">
        <f>IF(ISBLANK(B926), "", INDEX('কাস্টমার তালিকা'!$A$4:$A$305, MATCH(B926, 'কাস্টমার তালিকা'!$B$4:$B$305, 0)))</f>
        <v/>
      </c>
      <c r="D926" s="8"/>
      <c r="E926" s="8"/>
      <c r="F926" s="13"/>
      <c r="G926" s="14"/>
      <c r="H926" s="9">
        <f>IF(ISBLANK(C926), "", SUMIFS(F$2:F926, C$2:C926, C926) - SUMIFS(G$2:G926, C$2:C926, C926))</f>
        <v>0</v>
      </c>
    </row>
    <row r="927" spans="1:8" ht="18" customHeight="1" x14ac:dyDescent="0.55000000000000004">
      <c r="A927" s="11"/>
      <c r="C927" s="12" t="str">
        <f>IF(ISBLANK(B927), "", INDEX('কাস্টমার তালিকা'!$A$4:$A$305, MATCH(B927, 'কাস্টমার তালিকা'!$B$4:$B$305, 0)))</f>
        <v/>
      </c>
      <c r="D927" s="8"/>
      <c r="E927" s="8"/>
      <c r="F927" s="13"/>
      <c r="G927" s="14"/>
      <c r="H927" s="9">
        <f>IF(ISBLANK(C927), "", SUMIFS(F$2:F927, C$2:C927, C927) - SUMIFS(G$2:G927, C$2:C927, C927))</f>
        <v>0</v>
      </c>
    </row>
    <row r="928" spans="1:8" ht="18" customHeight="1" x14ac:dyDescent="0.55000000000000004">
      <c r="A928" s="11"/>
      <c r="C928" s="12" t="str">
        <f>IF(ISBLANK(B928), "", INDEX('কাস্টমার তালিকা'!$A$4:$A$305, MATCH(B928, 'কাস্টমার তালিকা'!$B$4:$B$305, 0)))</f>
        <v/>
      </c>
      <c r="D928" s="8"/>
      <c r="E928" s="8"/>
      <c r="F928" s="13"/>
      <c r="G928" s="14"/>
      <c r="H928" s="9">
        <f>IF(ISBLANK(C928), "", SUMIFS(F$2:F928, C$2:C928, C928) - SUMIFS(G$2:G928, C$2:C928, C928))</f>
        <v>0</v>
      </c>
    </row>
    <row r="929" spans="1:8" ht="18" customHeight="1" x14ac:dyDescent="0.55000000000000004">
      <c r="A929" s="11"/>
      <c r="C929" s="12" t="str">
        <f>IF(ISBLANK(B929), "", INDEX('কাস্টমার তালিকা'!$A$4:$A$305, MATCH(B929, 'কাস্টমার তালিকা'!$B$4:$B$305, 0)))</f>
        <v/>
      </c>
      <c r="D929" s="8"/>
      <c r="E929" s="8"/>
      <c r="F929" s="13"/>
      <c r="G929" s="14"/>
      <c r="H929" s="9">
        <f>IF(ISBLANK(C929), "", SUMIFS(F$2:F929, C$2:C929, C929) - SUMIFS(G$2:G929, C$2:C929, C929))</f>
        <v>0</v>
      </c>
    </row>
    <row r="930" spans="1:8" ht="18" customHeight="1" x14ac:dyDescent="0.55000000000000004">
      <c r="A930" s="11"/>
      <c r="C930" s="12" t="str">
        <f>IF(ISBLANK(B930), "", INDEX('কাস্টমার তালিকা'!$A$4:$A$305, MATCH(B930, 'কাস্টমার তালিকা'!$B$4:$B$305, 0)))</f>
        <v/>
      </c>
      <c r="D930" s="8"/>
      <c r="E930" s="8"/>
      <c r="F930" s="13"/>
      <c r="G930" s="14"/>
      <c r="H930" s="9">
        <f>IF(ISBLANK(C930), "", SUMIFS(F$2:F930, C$2:C930, C930) - SUMIFS(G$2:G930, C$2:C930, C930))</f>
        <v>0</v>
      </c>
    </row>
    <row r="931" spans="1:8" ht="18" customHeight="1" x14ac:dyDescent="0.55000000000000004">
      <c r="A931" s="11"/>
      <c r="C931" s="12" t="str">
        <f>IF(ISBLANK(B931), "", INDEX('কাস্টমার তালিকা'!$A$4:$A$305, MATCH(B931, 'কাস্টমার তালিকা'!$B$4:$B$305, 0)))</f>
        <v/>
      </c>
      <c r="D931" s="8"/>
      <c r="E931" s="8"/>
      <c r="F931" s="13"/>
      <c r="G931" s="14"/>
      <c r="H931" s="9">
        <f>IF(ISBLANK(C931), "", SUMIFS(F$2:F931, C$2:C931, C931) - SUMIFS(G$2:G931, C$2:C931, C931))</f>
        <v>0</v>
      </c>
    </row>
    <row r="932" spans="1:8" ht="18" customHeight="1" x14ac:dyDescent="0.55000000000000004">
      <c r="A932" s="11"/>
      <c r="C932" s="12" t="str">
        <f>IF(ISBLANK(B932), "", INDEX('কাস্টমার তালিকা'!$A$4:$A$305, MATCH(B932, 'কাস্টমার তালিকা'!$B$4:$B$305, 0)))</f>
        <v/>
      </c>
      <c r="D932" s="8"/>
      <c r="E932" s="8"/>
      <c r="F932" s="13"/>
      <c r="G932" s="14"/>
      <c r="H932" s="9">
        <f>IF(ISBLANK(C932), "", SUMIFS(F$2:F932, C$2:C932, C932) - SUMIFS(G$2:G932, C$2:C932, C932))</f>
        <v>0</v>
      </c>
    </row>
    <row r="933" spans="1:8" ht="18" customHeight="1" x14ac:dyDescent="0.55000000000000004">
      <c r="A933" s="11"/>
      <c r="C933" s="12" t="str">
        <f>IF(ISBLANK(B933), "", INDEX('কাস্টমার তালিকা'!$A$4:$A$305, MATCH(B933, 'কাস্টমার তালিকা'!$B$4:$B$305, 0)))</f>
        <v/>
      </c>
      <c r="D933" s="8"/>
      <c r="E933" s="8"/>
      <c r="F933" s="13"/>
      <c r="G933" s="14"/>
      <c r="H933" s="9">
        <f>IF(ISBLANK(C933), "", SUMIFS(F$2:F933, C$2:C933, C933) - SUMIFS(G$2:G933, C$2:C933, C933))</f>
        <v>0</v>
      </c>
    </row>
    <row r="934" spans="1:8" ht="18" customHeight="1" x14ac:dyDescent="0.55000000000000004">
      <c r="A934" s="11"/>
      <c r="C934" s="12" t="str">
        <f>IF(ISBLANK(B934), "", INDEX('কাস্টমার তালিকা'!$A$4:$A$305, MATCH(B934, 'কাস্টমার তালিকা'!$B$4:$B$305, 0)))</f>
        <v/>
      </c>
      <c r="D934" s="8"/>
      <c r="E934" s="8"/>
      <c r="F934" s="13"/>
      <c r="G934" s="14"/>
      <c r="H934" s="9">
        <f>IF(ISBLANK(C934), "", SUMIFS(F$2:F934, C$2:C934, C934) - SUMIFS(G$2:G934, C$2:C934, C934))</f>
        <v>0</v>
      </c>
    </row>
    <row r="935" spans="1:8" ht="18" customHeight="1" x14ac:dyDescent="0.55000000000000004">
      <c r="A935" s="11"/>
      <c r="C935" s="12" t="str">
        <f>IF(ISBLANK(B935), "", INDEX('কাস্টমার তালিকা'!$A$4:$A$305, MATCH(B935, 'কাস্টমার তালিকা'!$B$4:$B$305, 0)))</f>
        <v/>
      </c>
      <c r="D935" s="8"/>
      <c r="E935" s="8"/>
      <c r="F935" s="13"/>
      <c r="G935" s="14"/>
      <c r="H935" s="9">
        <f>IF(ISBLANK(C935), "", SUMIFS(F$2:F935, C$2:C935, C935) - SUMIFS(G$2:G935, C$2:C935, C935))</f>
        <v>0</v>
      </c>
    </row>
    <row r="936" spans="1:8" ht="18" customHeight="1" x14ac:dyDescent="0.55000000000000004">
      <c r="A936" s="11"/>
      <c r="C936" s="12" t="str">
        <f>IF(ISBLANK(B936), "", INDEX('কাস্টমার তালিকা'!$A$4:$A$305, MATCH(B936, 'কাস্টমার তালিকা'!$B$4:$B$305, 0)))</f>
        <v/>
      </c>
      <c r="D936" s="8"/>
      <c r="E936" s="8"/>
      <c r="F936" s="13"/>
      <c r="G936" s="14"/>
      <c r="H936" s="9">
        <f>IF(ISBLANK(C936), "", SUMIFS(F$2:F936, C$2:C936, C936) - SUMIFS(G$2:G936, C$2:C936, C936))</f>
        <v>0</v>
      </c>
    </row>
    <row r="937" spans="1:8" ht="18" customHeight="1" x14ac:dyDescent="0.55000000000000004">
      <c r="A937" s="11"/>
      <c r="C937" s="12" t="str">
        <f>IF(ISBLANK(B937), "", INDEX('কাস্টমার তালিকা'!$A$4:$A$305, MATCH(B937, 'কাস্টমার তালিকা'!$B$4:$B$305, 0)))</f>
        <v/>
      </c>
      <c r="D937" s="8"/>
      <c r="E937" s="8"/>
      <c r="F937" s="13"/>
      <c r="G937" s="14"/>
      <c r="H937" s="9">
        <f>IF(ISBLANK(C937), "", SUMIFS(F$2:F937, C$2:C937, C937) - SUMIFS(G$2:G937, C$2:C937, C937))</f>
        <v>0</v>
      </c>
    </row>
    <row r="938" spans="1:8" ht="18" customHeight="1" x14ac:dyDescent="0.55000000000000004">
      <c r="A938" s="11"/>
      <c r="C938" s="12" t="str">
        <f>IF(ISBLANK(B938), "", INDEX('কাস্টমার তালিকা'!$A$4:$A$305, MATCH(B938, 'কাস্টমার তালিকা'!$B$4:$B$305, 0)))</f>
        <v/>
      </c>
      <c r="D938" s="8"/>
      <c r="E938" s="8"/>
      <c r="F938" s="13"/>
      <c r="G938" s="14"/>
      <c r="H938" s="9">
        <f>IF(ISBLANK(C938), "", SUMIFS(F$2:F938, C$2:C938, C938) - SUMIFS(G$2:G938, C$2:C938, C938))</f>
        <v>0</v>
      </c>
    </row>
    <row r="939" spans="1:8" ht="18" customHeight="1" x14ac:dyDescent="0.55000000000000004">
      <c r="A939" s="11"/>
      <c r="C939" s="12" t="str">
        <f>IF(ISBLANK(B939), "", INDEX('কাস্টমার তালিকা'!$A$4:$A$305, MATCH(B939, 'কাস্টমার তালিকা'!$B$4:$B$305, 0)))</f>
        <v/>
      </c>
      <c r="D939" s="8"/>
      <c r="E939" s="8"/>
      <c r="F939" s="13"/>
      <c r="G939" s="14"/>
      <c r="H939" s="9">
        <f>IF(ISBLANK(C939), "", SUMIFS(F$2:F939, C$2:C939, C939) - SUMIFS(G$2:G939, C$2:C939, C939))</f>
        <v>0</v>
      </c>
    </row>
    <row r="940" spans="1:8" ht="18" customHeight="1" x14ac:dyDescent="0.55000000000000004">
      <c r="A940" s="11"/>
      <c r="C940" s="12" t="str">
        <f>IF(ISBLANK(B940), "", INDEX('কাস্টমার তালিকা'!$A$4:$A$305, MATCH(B940, 'কাস্টমার তালিকা'!$B$4:$B$305, 0)))</f>
        <v/>
      </c>
      <c r="D940" s="8"/>
      <c r="E940" s="8"/>
      <c r="F940" s="13"/>
      <c r="G940" s="14"/>
      <c r="H940" s="9">
        <f>IF(ISBLANK(C940), "", SUMIFS(F$2:F940, C$2:C940, C940) - SUMIFS(G$2:G940, C$2:C940, C940))</f>
        <v>0</v>
      </c>
    </row>
    <row r="941" spans="1:8" ht="18" customHeight="1" x14ac:dyDescent="0.55000000000000004">
      <c r="A941" s="11"/>
      <c r="C941" s="12" t="str">
        <f>IF(ISBLANK(B941), "", INDEX('কাস্টমার তালিকা'!$A$4:$A$305, MATCH(B941, 'কাস্টমার তালিকা'!$B$4:$B$305, 0)))</f>
        <v/>
      </c>
      <c r="D941" s="8"/>
      <c r="E941" s="8"/>
      <c r="F941" s="13"/>
      <c r="G941" s="14"/>
      <c r="H941" s="9">
        <f>IF(ISBLANK(C941), "", SUMIFS(F$2:F941, C$2:C941, C941) - SUMIFS(G$2:G941, C$2:C941, C941))</f>
        <v>0</v>
      </c>
    </row>
    <row r="942" spans="1:8" ht="18" customHeight="1" x14ac:dyDescent="0.55000000000000004">
      <c r="A942" s="11"/>
      <c r="C942" s="12" t="str">
        <f>IF(ISBLANK(B942), "", INDEX('কাস্টমার তালিকা'!$A$4:$A$305, MATCH(B942, 'কাস্টমার তালিকা'!$B$4:$B$305, 0)))</f>
        <v/>
      </c>
      <c r="D942" s="8"/>
      <c r="E942" s="8"/>
      <c r="F942" s="13"/>
      <c r="G942" s="14"/>
      <c r="H942" s="9">
        <f>IF(ISBLANK(C942), "", SUMIFS(F$2:F942, C$2:C942, C942) - SUMIFS(G$2:G942, C$2:C942, C942))</f>
        <v>0</v>
      </c>
    </row>
    <row r="943" spans="1:8" ht="18" customHeight="1" x14ac:dyDescent="0.55000000000000004">
      <c r="A943" s="11"/>
      <c r="C943" s="12" t="str">
        <f>IF(ISBLANK(B943), "", INDEX('কাস্টমার তালিকা'!$A$4:$A$305, MATCH(B943, 'কাস্টমার তালিকা'!$B$4:$B$305, 0)))</f>
        <v/>
      </c>
      <c r="D943" s="8"/>
      <c r="E943" s="8"/>
      <c r="F943" s="13"/>
      <c r="G943" s="14"/>
      <c r="H943" s="9">
        <f>IF(ISBLANK(C943), "", SUMIFS(F$2:F943, C$2:C943, C943) - SUMIFS(G$2:G943, C$2:C943, C943))</f>
        <v>0</v>
      </c>
    </row>
    <row r="944" spans="1:8" ht="18" customHeight="1" x14ac:dyDescent="0.55000000000000004">
      <c r="A944" s="11"/>
      <c r="C944" s="12" t="str">
        <f>IF(ISBLANK(B944), "", INDEX('কাস্টমার তালিকা'!$A$4:$A$305, MATCH(B944, 'কাস্টমার তালিকা'!$B$4:$B$305, 0)))</f>
        <v/>
      </c>
      <c r="D944" s="8"/>
      <c r="E944" s="8"/>
      <c r="F944" s="13"/>
      <c r="G944" s="14"/>
      <c r="H944" s="9">
        <f>IF(ISBLANK(C944), "", SUMIFS(F$2:F944, C$2:C944, C944) - SUMIFS(G$2:G944, C$2:C944, C944))</f>
        <v>0</v>
      </c>
    </row>
    <row r="945" spans="1:8" ht="18" customHeight="1" x14ac:dyDescent="0.55000000000000004">
      <c r="A945" s="11"/>
      <c r="C945" s="12" t="str">
        <f>IF(ISBLANK(B945), "", INDEX('কাস্টমার তালিকা'!$A$4:$A$305, MATCH(B945, 'কাস্টমার তালিকা'!$B$4:$B$305, 0)))</f>
        <v/>
      </c>
      <c r="D945" s="8"/>
      <c r="E945" s="8"/>
      <c r="F945" s="13"/>
      <c r="G945" s="14"/>
      <c r="H945" s="9">
        <f>IF(ISBLANK(C945), "", SUMIFS(F$2:F945, C$2:C945, C945) - SUMIFS(G$2:G945, C$2:C945, C945))</f>
        <v>0</v>
      </c>
    </row>
    <row r="946" spans="1:8" ht="18" customHeight="1" x14ac:dyDescent="0.55000000000000004">
      <c r="A946" s="11"/>
      <c r="C946" s="12" t="str">
        <f>IF(ISBLANK(B946), "", INDEX('কাস্টমার তালিকা'!$A$4:$A$305, MATCH(B946, 'কাস্টমার তালিকা'!$B$4:$B$305, 0)))</f>
        <v/>
      </c>
      <c r="D946" s="8"/>
      <c r="E946" s="8"/>
      <c r="F946" s="13"/>
      <c r="G946" s="14"/>
      <c r="H946" s="9">
        <f>IF(ISBLANK(C946), "", SUMIFS(F$2:F946, C$2:C946, C946) - SUMIFS(G$2:G946, C$2:C946, C946))</f>
        <v>0</v>
      </c>
    </row>
    <row r="947" spans="1:8" ht="18" customHeight="1" x14ac:dyDescent="0.55000000000000004">
      <c r="A947" s="11"/>
      <c r="C947" s="12" t="str">
        <f>IF(ISBLANK(B947), "", INDEX('কাস্টমার তালিকা'!$A$4:$A$305, MATCH(B947, 'কাস্টমার তালিকা'!$B$4:$B$305, 0)))</f>
        <v/>
      </c>
      <c r="D947" s="8"/>
      <c r="E947" s="8"/>
      <c r="F947" s="13"/>
      <c r="G947" s="14"/>
      <c r="H947" s="9">
        <f>IF(ISBLANK(C947), "", SUMIFS(F$2:F947, C$2:C947, C947) - SUMIFS(G$2:G947, C$2:C947, C947))</f>
        <v>0</v>
      </c>
    </row>
    <row r="948" spans="1:8" ht="18" customHeight="1" x14ac:dyDescent="0.55000000000000004">
      <c r="A948" s="11"/>
      <c r="C948" s="12" t="str">
        <f>IF(ISBLANK(B948), "", INDEX('কাস্টমার তালিকা'!$A$4:$A$305, MATCH(B948, 'কাস্টমার তালিকা'!$B$4:$B$305, 0)))</f>
        <v/>
      </c>
      <c r="D948" s="8"/>
      <c r="E948" s="8"/>
      <c r="F948" s="13"/>
      <c r="G948" s="14"/>
      <c r="H948" s="9">
        <f>IF(ISBLANK(C948), "", SUMIFS(F$2:F948, C$2:C948, C948) - SUMIFS(G$2:G948, C$2:C948, C948))</f>
        <v>0</v>
      </c>
    </row>
    <row r="949" spans="1:8" ht="18" customHeight="1" x14ac:dyDescent="0.55000000000000004">
      <c r="A949" s="11"/>
      <c r="C949" s="12" t="str">
        <f>IF(ISBLANK(B949), "", INDEX('কাস্টমার তালিকা'!$A$4:$A$305, MATCH(B949, 'কাস্টমার তালিকা'!$B$4:$B$305, 0)))</f>
        <v/>
      </c>
      <c r="D949" s="8"/>
      <c r="E949" s="8"/>
      <c r="F949" s="13"/>
      <c r="G949" s="14"/>
      <c r="H949" s="9">
        <f>IF(ISBLANK(C949), "", SUMIFS(F$2:F949, C$2:C949, C949) - SUMIFS(G$2:G949, C$2:C949, C949))</f>
        <v>0</v>
      </c>
    </row>
    <row r="950" spans="1:8" ht="18" customHeight="1" x14ac:dyDescent="0.55000000000000004">
      <c r="A950" s="11"/>
      <c r="C950" s="12" t="str">
        <f>IF(ISBLANK(B950), "", INDEX('কাস্টমার তালিকা'!$A$4:$A$305, MATCH(B950, 'কাস্টমার তালিকা'!$B$4:$B$305, 0)))</f>
        <v/>
      </c>
      <c r="D950" s="8"/>
      <c r="E950" s="8"/>
      <c r="F950" s="13"/>
      <c r="G950" s="14"/>
      <c r="H950" s="9">
        <f>IF(ISBLANK(C950), "", SUMIFS(F$2:F950, C$2:C950, C950) - SUMIFS(G$2:G950, C$2:C950, C950))</f>
        <v>0</v>
      </c>
    </row>
    <row r="951" spans="1:8" ht="18" customHeight="1" x14ac:dyDescent="0.55000000000000004">
      <c r="A951" s="11"/>
      <c r="C951" s="12" t="str">
        <f>IF(ISBLANK(B951), "", INDEX('কাস্টমার তালিকা'!$A$4:$A$305, MATCH(B951, 'কাস্টমার তালিকা'!$B$4:$B$305, 0)))</f>
        <v/>
      </c>
      <c r="D951" s="8"/>
      <c r="E951" s="8"/>
      <c r="F951" s="13"/>
      <c r="G951" s="14"/>
      <c r="H951" s="9">
        <f>IF(ISBLANK(C951), "", SUMIFS(F$2:F951, C$2:C951, C951) - SUMIFS(G$2:G951, C$2:C951, C951))</f>
        <v>0</v>
      </c>
    </row>
    <row r="952" spans="1:8" ht="18" customHeight="1" x14ac:dyDescent="0.55000000000000004">
      <c r="A952" s="11"/>
      <c r="C952" s="12" t="str">
        <f>IF(ISBLANK(B952), "", INDEX('কাস্টমার তালিকা'!$A$4:$A$305, MATCH(B952, 'কাস্টমার তালিকা'!$B$4:$B$305, 0)))</f>
        <v/>
      </c>
      <c r="D952" s="8"/>
      <c r="E952" s="8"/>
      <c r="F952" s="13"/>
      <c r="G952" s="14"/>
      <c r="H952" s="9">
        <f>IF(ISBLANK(C952), "", SUMIFS(F$2:F952, C$2:C952, C952) - SUMIFS(G$2:G952, C$2:C952, C952))</f>
        <v>0</v>
      </c>
    </row>
    <row r="953" spans="1:8" ht="18" customHeight="1" x14ac:dyDescent="0.55000000000000004">
      <c r="A953" s="11"/>
      <c r="C953" s="12" t="str">
        <f>IF(ISBLANK(B953), "", INDEX('কাস্টমার তালিকা'!$A$4:$A$305, MATCH(B953, 'কাস্টমার তালিকা'!$B$4:$B$305, 0)))</f>
        <v/>
      </c>
      <c r="D953" s="8"/>
      <c r="E953" s="8"/>
      <c r="F953" s="13"/>
      <c r="G953" s="14"/>
      <c r="H953" s="9">
        <f>IF(ISBLANK(C953), "", SUMIFS(F$2:F953, C$2:C953, C953) - SUMIFS(G$2:G953, C$2:C953, C953))</f>
        <v>0</v>
      </c>
    </row>
    <row r="954" spans="1:8" ht="18" customHeight="1" x14ac:dyDescent="0.55000000000000004">
      <c r="A954" s="11"/>
      <c r="C954" s="12" t="str">
        <f>IF(ISBLANK(B954), "", INDEX('কাস্টমার তালিকা'!$A$4:$A$305, MATCH(B954, 'কাস্টমার তালিকা'!$B$4:$B$305, 0)))</f>
        <v/>
      </c>
      <c r="D954" s="8"/>
      <c r="E954" s="8"/>
      <c r="F954" s="13"/>
      <c r="G954" s="14"/>
      <c r="H954" s="9">
        <f>IF(ISBLANK(C954), "", SUMIFS(F$2:F954, C$2:C954, C954) - SUMIFS(G$2:G954, C$2:C954, C954))</f>
        <v>0</v>
      </c>
    </row>
    <row r="955" spans="1:8" ht="18" customHeight="1" x14ac:dyDescent="0.55000000000000004">
      <c r="A955" s="11"/>
      <c r="C955" s="12" t="str">
        <f>IF(ISBLANK(B955), "", INDEX('কাস্টমার তালিকা'!$A$4:$A$305, MATCH(B955, 'কাস্টমার তালিকা'!$B$4:$B$305, 0)))</f>
        <v/>
      </c>
      <c r="D955" s="8"/>
      <c r="E955" s="8"/>
      <c r="F955" s="13"/>
      <c r="G955" s="14"/>
      <c r="H955" s="9">
        <f>IF(ISBLANK(C955), "", SUMIFS(F$2:F955, C$2:C955, C955) - SUMIFS(G$2:G955, C$2:C955, C955))</f>
        <v>0</v>
      </c>
    </row>
    <row r="956" spans="1:8" ht="18" customHeight="1" x14ac:dyDescent="0.55000000000000004">
      <c r="A956" s="11"/>
      <c r="C956" s="12" t="str">
        <f>IF(ISBLANK(B956), "", INDEX('কাস্টমার তালিকা'!$A$4:$A$305, MATCH(B956, 'কাস্টমার তালিকা'!$B$4:$B$305, 0)))</f>
        <v/>
      </c>
      <c r="D956" s="8"/>
      <c r="E956" s="8"/>
      <c r="F956" s="13"/>
      <c r="G956" s="14"/>
      <c r="H956" s="9">
        <f>IF(ISBLANK(C956), "", SUMIFS(F$2:F956, C$2:C956, C956) - SUMIFS(G$2:G956, C$2:C956, C956))</f>
        <v>0</v>
      </c>
    </row>
    <row r="957" spans="1:8" ht="18" customHeight="1" x14ac:dyDescent="0.55000000000000004">
      <c r="A957" s="11"/>
      <c r="C957" s="12" t="str">
        <f>IF(ISBLANK(B957), "", INDEX('কাস্টমার তালিকা'!$A$4:$A$305, MATCH(B957, 'কাস্টমার তালিকা'!$B$4:$B$305, 0)))</f>
        <v/>
      </c>
      <c r="D957" s="8"/>
      <c r="E957" s="8"/>
      <c r="F957" s="13"/>
      <c r="G957" s="14"/>
      <c r="H957" s="9">
        <f>IF(ISBLANK(C957), "", SUMIFS(F$2:F957, C$2:C957, C957) - SUMIFS(G$2:G957, C$2:C957, C957))</f>
        <v>0</v>
      </c>
    </row>
    <row r="958" spans="1:8" ht="18" customHeight="1" x14ac:dyDescent="0.55000000000000004">
      <c r="A958" s="11"/>
      <c r="C958" s="12" t="str">
        <f>IF(ISBLANK(B958), "", INDEX('কাস্টমার তালিকা'!$A$4:$A$305, MATCH(B958, 'কাস্টমার তালিকা'!$B$4:$B$305, 0)))</f>
        <v/>
      </c>
      <c r="D958" s="8"/>
      <c r="E958" s="8"/>
      <c r="F958" s="13"/>
      <c r="G958" s="14"/>
      <c r="H958" s="9">
        <f>IF(ISBLANK(C958), "", SUMIFS(F$2:F958, C$2:C958, C958) - SUMIFS(G$2:G958, C$2:C958, C958))</f>
        <v>0</v>
      </c>
    </row>
    <row r="959" spans="1:8" ht="18" customHeight="1" x14ac:dyDescent="0.55000000000000004">
      <c r="A959" s="11"/>
      <c r="C959" s="12" t="str">
        <f>IF(ISBLANK(B959), "", INDEX('কাস্টমার তালিকা'!$A$4:$A$305, MATCH(B959, 'কাস্টমার তালিকা'!$B$4:$B$305, 0)))</f>
        <v/>
      </c>
      <c r="D959" s="8"/>
      <c r="E959" s="8"/>
      <c r="F959" s="13"/>
      <c r="G959" s="14"/>
      <c r="H959" s="9">
        <f>IF(ISBLANK(C959), "", SUMIFS(F$2:F959, C$2:C959, C959) - SUMIFS(G$2:G959, C$2:C959, C959))</f>
        <v>0</v>
      </c>
    </row>
    <row r="960" spans="1:8" ht="18" customHeight="1" x14ac:dyDescent="0.55000000000000004">
      <c r="A960" s="11"/>
      <c r="C960" s="12" t="str">
        <f>IF(ISBLANK(B960), "", INDEX('কাস্টমার তালিকা'!$A$4:$A$305, MATCH(B960, 'কাস্টমার তালিকা'!$B$4:$B$305, 0)))</f>
        <v/>
      </c>
      <c r="D960" s="8"/>
      <c r="E960" s="8"/>
      <c r="F960" s="13"/>
      <c r="G960" s="14"/>
      <c r="H960" s="9">
        <f>IF(ISBLANK(C960), "", SUMIFS(F$2:F960, C$2:C960, C960) - SUMIFS(G$2:G960, C$2:C960, C960))</f>
        <v>0</v>
      </c>
    </row>
    <row r="961" spans="1:8" ht="18" customHeight="1" x14ac:dyDescent="0.55000000000000004">
      <c r="A961" s="11"/>
      <c r="C961" s="12" t="str">
        <f>IF(ISBLANK(B961), "", INDEX('কাস্টমার তালিকা'!$A$4:$A$305, MATCH(B961, 'কাস্টমার তালিকা'!$B$4:$B$305, 0)))</f>
        <v/>
      </c>
      <c r="D961" s="8"/>
      <c r="E961" s="8"/>
      <c r="F961" s="13"/>
      <c r="G961" s="14"/>
      <c r="H961" s="9">
        <f>IF(ISBLANK(C961), "", SUMIFS(F$2:F961, C$2:C961, C961) - SUMIFS(G$2:G961, C$2:C961, C961))</f>
        <v>0</v>
      </c>
    </row>
    <row r="962" spans="1:8" ht="18" customHeight="1" x14ac:dyDescent="0.55000000000000004">
      <c r="A962" s="11"/>
      <c r="C962" s="12" t="str">
        <f>IF(ISBLANK(B962), "", INDEX('কাস্টমার তালিকা'!$A$4:$A$305, MATCH(B962, 'কাস্টমার তালিকা'!$B$4:$B$305, 0)))</f>
        <v/>
      </c>
      <c r="D962" s="8"/>
      <c r="E962" s="8"/>
      <c r="F962" s="13"/>
      <c r="G962" s="14"/>
      <c r="H962" s="9">
        <f>IF(ISBLANK(C962), "", SUMIFS(F$2:F962, C$2:C962, C962) - SUMIFS(G$2:G962, C$2:C962, C962))</f>
        <v>0</v>
      </c>
    </row>
    <row r="963" spans="1:8" ht="18" customHeight="1" x14ac:dyDescent="0.55000000000000004">
      <c r="A963" s="11"/>
      <c r="C963" s="12" t="str">
        <f>IF(ISBLANK(B963), "", INDEX('কাস্টমার তালিকা'!$A$4:$A$305, MATCH(B963, 'কাস্টমার তালিকা'!$B$4:$B$305, 0)))</f>
        <v/>
      </c>
      <c r="D963" s="8"/>
      <c r="E963" s="8"/>
      <c r="F963" s="13"/>
      <c r="G963" s="14"/>
      <c r="H963" s="9">
        <f>IF(ISBLANK(C963), "", SUMIFS(F$2:F963, C$2:C963, C963) - SUMIFS(G$2:G963, C$2:C963, C963))</f>
        <v>0</v>
      </c>
    </row>
    <row r="964" spans="1:8" ht="18" customHeight="1" x14ac:dyDescent="0.55000000000000004">
      <c r="A964" s="11"/>
      <c r="C964" s="12" t="str">
        <f>IF(ISBLANK(B964), "", INDEX('কাস্টমার তালিকা'!$A$4:$A$305, MATCH(B964, 'কাস্টমার তালিকা'!$B$4:$B$305, 0)))</f>
        <v/>
      </c>
      <c r="D964" s="8"/>
      <c r="E964" s="8"/>
      <c r="F964" s="13"/>
      <c r="G964" s="14"/>
      <c r="H964" s="9">
        <f>IF(ISBLANK(C964), "", SUMIFS(F$2:F964, C$2:C964, C964) - SUMIFS(G$2:G964, C$2:C964, C964))</f>
        <v>0</v>
      </c>
    </row>
    <row r="965" spans="1:8" ht="18" customHeight="1" x14ac:dyDescent="0.55000000000000004">
      <c r="A965" s="11"/>
      <c r="C965" s="12" t="str">
        <f>IF(ISBLANK(B965), "", INDEX('কাস্টমার তালিকা'!$A$4:$A$305, MATCH(B965, 'কাস্টমার তালিকা'!$B$4:$B$305, 0)))</f>
        <v/>
      </c>
      <c r="D965" s="8"/>
      <c r="E965" s="8"/>
      <c r="F965" s="13"/>
      <c r="G965" s="14"/>
      <c r="H965" s="9">
        <f>IF(ISBLANK(C965), "", SUMIFS(F$2:F965, C$2:C965, C965) - SUMIFS(G$2:G965, C$2:C965, C965))</f>
        <v>0</v>
      </c>
    </row>
    <row r="966" spans="1:8" ht="18" customHeight="1" x14ac:dyDescent="0.55000000000000004">
      <c r="A966" s="11"/>
      <c r="C966" s="12" t="str">
        <f>IF(ISBLANK(B966), "", INDEX('কাস্টমার তালিকা'!$A$4:$A$305, MATCH(B966, 'কাস্টমার তালিকা'!$B$4:$B$305, 0)))</f>
        <v/>
      </c>
      <c r="D966" s="8"/>
      <c r="E966" s="8"/>
      <c r="F966" s="13"/>
      <c r="G966" s="14"/>
      <c r="H966" s="9">
        <f>IF(ISBLANK(C966), "", SUMIFS(F$2:F966, C$2:C966, C966) - SUMIFS(G$2:G966, C$2:C966, C966))</f>
        <v>0</v>
      </c>
    </row>
    <row r="967" spans="1:8" ht="18" customHeight="1" x14ac:dyDescent="0.55000000000000004">
      <c r="A967" s="11"/>
      <c r="C967" s="12" t="str">
        <f>IF(ISBLANK(B967), "", INDEX('কাস্টমার তালিকা'!$A$4:$A$305, MATCH(B967, 'কাস্টমার তালিকা'!$B$4:$B$305, 0)))</f>
        <v/>
      </c>
      <c r="D967" s="8"/>
      <c r="E967" s="8"/>
      <c r="F967" s="13"/>
      <c r="G967" s="14"/>
      <c r="H967" s="9">
        <f>IF(ISBLANK(C967), "", SUMIFS(F$2:F967, C$2:C967, C967) - SUMIFS(G$2:G967, C$2:C967, C967))</f>
        <v>0</v>
      </c>
    </row>
    <row r="968" spans="1:8" ht="18" customHeight="1" x14ac:dyDescent="0.55000000000000004">
      <c r="A968" s="11"/>
      <c r="C968" s="12" t="str">
        <f>IF(ISBLANK(B968), "", INDEX('কাস্টমার তালিকা'!$A$4:$A$305, MATCH(B968, 'কাস্টমার তালিকা'!$B$4:$B$305, 0)))</f>
        <v/>
      </c>
      <c r="D968" s="8"/>
      <c r="E968" s="8"/>
      <c r="F968" s="13"/>
      <c r="G968" s="14"/>
      <c r="H968" s="9">
        <f>IF(ISBLANK(C968), "", SUMIFS(F$2:F968, C$2:C968, C968) - SUMIFS(G$2:G968, C$2:C968, C968))</f>
        <v>0</v>
      </c>
    </row>
    <row r="969" spans="1:8" ht="18" customHeight="1" x14ac:dyDescent="0.55000000000000004">
      <c r="A969" s="11"/>
      <c r="C969" s="12" t="str">
        <f>IF(ISBLANK(B969), "", INDEX('কাস্টমার তালিকা'!$A$4:$A$305, MATCH(B969, 'কাস্টমার তালিকা'!$B$4:$B$305, 0)))</f>
        <v/>
      </c>
      <c r="D969" s="8"/>
      <c r="E969" s="8"/>
      <c r="F969" s="13"/>
      <c r="G969" s="14"/>
      <c r="H969" s="9">
        <f>IF(ISBLANK(C969), "", SUMIFS(F$2:F969, C$2:C969, C969) - SUMIFS(G$2:G969, C$2:C969, C969))</f>
        <v>0</v>
      </c>
    </row>
    <row r="970" spans="1:8" ht="18" customHeight="1" x14ac:dyDescent="0.55000000000000004">
      <c r="A970" s="11"/>
      <c r="C970" s="12" t="str">
        <f>IF(ISBLANK(B970), "", INDEX('কাস্টমার তালিকা'!$A$4:$A$305, MATCH(B970, 'কাস্টমার তালিকা'!$B$4:$B$305, 0)))</f>
        <v/>
      </c>
      <c r="D970" s="8"/>
      <c r="E970" s="8"/>
      <c r="F970" s="13"/>
      <c r="G970" s="14"/>
      <c r="H970" s="9">
        <f>IF(ISBLANK(C970), "", SUMIFS(F$2:F970, C$2:C970, C970) - SUMIFS(G$2:G970, C$2:C970, C970))</f>
        <v>0</v>
      </c>
    </row>
    <row r="971" spans="1:8" ht="18" customHeight="1" x14ac:dyDescent="0.55000000000000004">
      <c r="A971" s="11"/>
      <c r="C971" s="12" t="str">
        <f>IF(ISBLANK(B971), "", INDEX('কাস্টমার তালিকা'!$A$4:$A$305, MATCH(B971, 'কাস্টমার তালিকা'!$B$4:$B$305, 0)))</f>
        <v/>
      </c>
      <c r="D971" s="8"/>
      <c r="E971" s="8"/>
      <c r="F971" s="13"/>
      <c r="G971" s="14"/>
      <c r="H971" s="9">
        <f>IF(ISBLANK(C971), "", SUMIFS(F$2:F971, C$2:C971, C971) - SUMIFS(G$2:G971, C$2:C971, C971))</f>
        <v>0</v>
      </c>
    </row>
    <row r="972" spans="1:8" ht="18" customHeight="1" x14ac:dyDescent="0.55000000000000004">
      <c r="A972" s="11"/>
      <c r="C972" s="12" t="str">
        <f>IF(ISBLANK(B972), "", INDEX('কাস্টমার তালিকা'!$A$4:$A$305, MATCH(B972, 'কাস্টমার তালিকা'!$B$4:$B$305, 0)))</f>
        <v/>
      </c>
      <c r="D972" s="8"/>
      <c r="E972" s="8"/>
      <c r="F972" s="13"/>
      <c r="G972" s="14"/>
      <c r="H972" s="9">
        <f>IF(ISBLANK(C972), "", SUMIFS(F$2:F972, C$2:C972, C972) - SUMIFS(G$2:G972, C$2:C972, C972))</f>
        <v>0</v>
      </c>
    </row>
    <row r="973" spans="1:8" ht="18" customHeight="1" x14ac:dyDescent="0.55000000000000004">
      <c r="A973" s="11"/>
      <c r="C973" s="12" t="str">
        <f>IF(ISBLANK(B973), "", INDEX('কাস্টমার তালিকা'!$A$4:$A$305, MATCH(B973, 'কাস্টমার তালিকা'!$B$4:$B$305, 0)))</f>
        <v/>
      </c>
      <c r="D973" s="8"/>
      <c r="E973" s="8"/>
      <c r="F973" s="13"/>
      <c r="G973" s="14"/>
      <c r="H973" s="9">
        <f>IF(ISBLANK(C973), "", SUMIFS(F$2:F973, C$2:C973, C973) - SUMIFS(G$2:G973, C$2:C973, C973))</f>
        <v>0</v>
      </c>
    </row>
    <row r="974" spans="1:8" ht="18" customHeight="1" x14ac:dyDescent="0.55000000000000004">
      <c r="A974" s="11"/>
      <c r="C974" s="12" t="str">
        <f>IF(ISBLANK(B974), "", INDEX('কাস্টমার তালিকা'!$A$4:$A$305, MATCH(B974, 'কাস্টমার তালিকা'!$B$4:$B$305, 0)))</f>
        <v/>
      </c>
      <c r="D974" s="8"/>
      <c r="E974" s="8"/>
      <c r="F974" s="13"/>
      <c r="G974" s="14"/>
      <c r="H974" s="9">
        <f>IF(ISBLANK(C974), "", SUMIFS(F$2:F974, C$2:C974, C974) - SUMIFS(G$2:G974, C$2:C974, C974))</f>
        <v>0</v>
      </c>
    </row>
    <row r="975" spans="1:8" ht="18" customHeight="1" x14ac:dyDescent="0.55000000000000004">
      <c r="A975" s="11"/>
      <c r="C975" s="12" t="str">
        <f>IF(ISBLANK(B975), "", INDEX('কাস্টমার তালিকা'!$A$4:$A$305, MATCH(B975, 'কাস্টমার তালিকা'!$B$4:$B$305, 0)))</f>
        <v/>
      </c>
      <c r="D975" s="8"/>
      <c r="E975" s="8"/>
      <c r="F975" s="13"/>
      <c r="G975" s="14"/>
      <c r="H975" s="9">
        <f>IF(ISBLANK(C975), "", SUMIFS(F$2:F975, C$2:C975, C975) - SUMIFS(G$2:G975, C$2:C975, C975))</f>
        <v>0</v>
      </c>
    </row>
    <row r="976" spans="1:8" ht="18" customHeight="1" x14ac:dyDescent="0.55000000000000004">
      <c r="A976" s="11"/>
      <c r="C976" s="12" t="str">
        <f>IF(ISBLANK(B976), "", INDEX('কাস্টমার তালিকা'!$A$4:$A$305, MATCH(B976, 'কাস্টমার তালিকা'!$B$4:$B$305, 0)))</f>
        <v/>
      </c>
      <c r="D976" s="8"/>
      <c r="E976" s="8"/>
      <c r="F976" s="13"/>
      <c r="G976" s="14"/>
      <c r="H976" s="9">
        <f>IF(ISBLANK(C976), "", SUMIFS(F$2:F976, C$2:C976, C976) - SUMIFS(G$2:G976, C$2:C976, C976))</f>
        <v>0</v>
      </c>
    </row>
    <row r="977" spans="1:8" ht="18" customHeight="1" x14ac:dyDescent="0.55000000000000004">
      <c r="A977" s="11"/>
      <c r="C977" s="12" t="str">
        <f>IF(ISBLANK(B977), "", INDEX('কাস্টমার তালিকা'!$A$4:$A$305, MATCH(B977, 'কাস্টমার তালিকা'!$B$4:$B$305, 0)))</f>
        <v/>
      </c>
      <c r="D977" s="8"/>
      <c r="E977" s="8"/>
      <c r="F977" s="13"/>
      <c r="G977" s="14"/>
      <c r="H977" s="9">
        <f>IF(ISBLANK(C977), "", SUMIFS(F$2:F977, C$2:C977, C977) - SUMIFS(G$2:G977, C$2:C977, C977))</f>
        <v>0</v>
      </c>
    </row>
    <row r="978" spans="1:8" ht="18" customHeight="1" x14ac:dyDescent="0.55000000000000004">
      <c r="A978" s="11"/>
      <c r="C978" s="12" t="str">
        <f>IF(ISBLANK(B978), "", INDEX('কাস্টমার তালিকা'!$A$4:$A$305, MATCH(B978, 'কাস্টমার তালিকা'!$B$4:$B$305, 0)))</f>
        <v/>
      </c>
      <c r="D978" s="8"/>
      <c r="E978" s="8"/>
      <c r="F978" s="13"/>
      <c r="G978" s="14"/>
      <c r="H978" s="9">
        <f>IF(ISBLANK(C978), "", SUMIFS(F$2:F978, C$2:C978, C978) - SUMIFS(G$2:G978, C$2:C978, C978))</f>
        <v>0</v>
      </c>
    </row>
    <row r="979" spans="1:8" ht="18" customHeight="1" x14ac:dyDescent="0.55000000000000004">
      <c r="A979" s="11"/>
      <c r="C979" s="12" t="str">
        <f>IF(ISBLANK(B979), "", INDEX('কাস্টমার তালিকা'!$A$4:$A$305, MATCH(B979, 'কাস্টমার তালিকা'!$B$4:$B$305, 0)))</f>
        <v/>
      </c>
      <c r="D979" s="8"/>
      <c r="E979" s="8"/>
      <c r="F979" s="13"/>
      <c r="G979" s="14"/>
      <c r="H979" s="9">
        <f>IF(ISBLANK(C979), "", SUMIFS(F$2:F979, C$2:C979, C979) - SUMIFS(G$2:G979, C$2:C979, C979))</f>
        <v>0</v>
      </c>
    </row>
    <row r="980" spans="1:8" ht="18" customHeight="1" x14ac:dyDescent="0.55000000000000004">
      <c r="A980" s="11"/>
      <c r="C980" s="12" t="str">
        <f>IF(ISBLANK(B980), "", INDEX('কাস্টমার তালিকা'!$A$4:$A$305, MATCH(B980, 'কাস্টমার তালিকা'!$B$4:$B$305, 0)))</f>
        <v/>
      </c>
      <c r="D980" s="8"/>
      <c r="E980" s="8"/>
      <c r="F980" s="13"/>
      <c r="G980" s="14"/>
      <c r="H980" s="9">
        <f>IF(ISBLANK(C980), "", SUMIFS(F$2:F980, C$2:C980, C980) - SUMIFS(G$2:G980, C$2:C980, C980))</f>
        <v>0</v>
      </c>
    </row>
    <row r="981" spans="1:8" ht="18" customHeight="1" x14ac:dyDescent="0.55000000000000004">
      <c r="A981" s="11"/>
      <c r="C981" s="12" t="str">
        <f>IF(ISBLANK(B981), "", INDEX('কাস্টমার তালিকা'!$A$4:$A$305, MATCH(B981, 'কাস্টমার তালিকা'!$B$4:$B$305, 0)))</f>
        <v/>
      </c>
      <c r="D981" s="8"/>
      <c r="E981" s="8"/>
      <c r="F981" s="13"/>
      <c r="G981" s="14"/>
      <c r="H981" s="9">
        <f>IF(ISBLANK(C981), "", SUMIFS(F$2:F981, C$2:C981, C981) - SUMIFS(G$2:G981, C$2:C981, C981))</f>
        <v>0</v>
      </c>
    </row>
    <row r="982" spans="1:8" ht="18" customHeight="1" x14ac:dyDescent="0.55000000000000004">
      <c r="A982" s="11"/>
      <c r="C982" s="12" t="str">
        <f>IF(ISBLANK(B982), "", INDEX('কাস্টমার তালিকা'!$A$4:$A$305, MATCH(B982, 'কাস্টমার তালিকা'!$B$4:$B$305, 0)))</f>
        <v/>
      </c>
      <c r="D982" s="8"/>
      <c r="E982" s="8"/>
      <c r="F982" s="13"/>
      <c r="G982" s="14"/>
      <c r="H982" s="9">
        <f>IF(ISBLANK(C982), "", SUMIFS(F$2:F982, C$2:C982, C982) - SUMIFS(G$2:G982, C$2:C982, C982))</f>
        <v>0</v>
      </c>
    </row>
    <row r="983" spans="1:8" ht="18" customHeight="1" x14ac:dyDescent="0.55000000000000004">
      <c r="A983" s="11"/>
      <c r="C983" s="12" t="str">
        <f>IF(ISBLANK(B983), "", INDEX('কাস্টমার তালিকা'!$A$4:$A$305, MATCH(B983, 'কাস্টমার তালিকা'!$B$4:$B$305, 0)))</f>
        <v/>
      </c>
      <c r="D983" s="8"/>
      <c r="E983" s="8"/>
      <c r="F983" s="13"/>
      <c r="G983" s="14"/>
      <c r="H983" s="9">
        <f>IF(ISBLANK(C983), "", SUMIFS(F$2:F983, C$2:C983, C983) - SUMIFS(G$2:G983, C$2:C983, C983))</f>
        <v>0</v>
      </c>
    </row>
    <row r="984" spans="1:8" ht="18" customHeight="1" x14ac:dyDescent="0.55000000000000004">
      <c r="A984" s="11"/>
      <c r="C984" s="12" t="str">
        <f>IF(ISBLANK(B984), "", INDEX('কাস্টমার তালিকা'!$A$4:$A$305, MATCH(B984, 'কাস্টমার তালিকা'!$B$4:$B$305, 0)))</f>
        <v/>
      </c>
      <c r="D984" s="8"/>
      <c r="E984" s="8"/>
      <c r="F984" s="13"/>
      <c r="G984" s="14"/>
      <c r="H984" s="9">
        <f>IF(ISBLANK(C984), "", SUMIFS(F$2:F984, C$2:C984, C984) - SUMIFS(G$2:G984, C$2:C984, C984))</f>
        <v>0</v>
      </c>
    </row>
    <row r="985" spans="1:8" ht="18" customHeight="1" x14ac:dyDescent="0.55000000000000004">
      <c r="A985" s="11"/>
      <c r="C985" s="12" t="str">
        <f>IF(ISBLANK(B985), "", INDEX('কাস্টমার তালিকা'!$A$4:$A$305, MATCH(B985, 'কাস্টমার তালিকা'!$B$4:$B$305, 0)))</f>
        <v/>
      </c>
      <c r="D985" s="8"/>
      <c r="E985" s="8"/>
      <c r="F985" s="13"/>
      <c r="G985" s="14"/>
      <c r="H985" s="9">
        <f>IF(ISBLANK(C985), "", SUMIFS(F$2:F985, C$2:C985, C985) - SUMIFS(G$2:G985, C$2:C985, C985))</f>
        <v>0</v>
      </c>
    </row>
    <row r="986" spans="1:8" ht="18" customHeight="1" x14ac:dyDescent="0.55000000000000004">
      <c r="A986" s="11"/>
      <c r="C986" s="12" t="str">
        <f>IF(ISBLANK(B986), "", INDEX('কাস্টমার তালিকা'!$A$4:$A$305, MATCH(B986, 'কাস্টমার তালিকা'!$B$4:$B$305, 0)))</f>
        <v/>
      </c>
      <c r="D986" s="8"/>
      <c r="E986" s="8"/>
      <c r="F986" s="13"/>
      <c r="G986" s="14"/>
      <c r="H986" s="9">
        <f>IF(ISBLANK(C986), "", SUMIFS(F$2:F986, C$2:C986, C986) - SUMIFS(G$2:G986, C$2:C986, C986))</f>
        <v>0</v>
      </c>
    </row>
    <row r="987" spans="1:8" ht="18" customHeight="1" x14ac:dyDescent="0.55000000000000004">
      <c r="A987" s="11"/>
      <c r="C987" s="12" t="str">
        <f>IF(ISBLANK(B987), "", INDEX('কাস্টমার তালিকা'!$A$4:$A$305, MATCH(B987, 'কাস্টমার তালিকা'!$B$4:$B$305, 0)))</f>
        <v/>
      </c>
      <c r="D987" s="8"/>
      <c r="E987" s="8"/>
      <c r="F987" s="13"/>
      <c r="G987" s="14"/>
      <c r="H987" s="9">
        <f>IF(ISBLANK(C987), "", SUMIFS(F$2:F987, C$2:C987, C987) - SUMIFS(G$2:G987, C$2:C987, C987))</f>
        <v>0</v>
      </c>
    </row>
    <row r="988" spans="1:8" ht="18" customHeight="1" x14ac:dyDescent="0.55000000000000004">
      <c r="A988" s="11"/>
      <c r="C988" s="12" t="str">
        <f>IF(ISBLANK(B988), "", INDEX('কাস্টমার তালিকা'!$A$4:$A$305, MATCH(B988, 'কাস্টমার তালিকা'!$B$4:$B$305, 0)))</f>
        <v/>
      </c>
      <c r="D988" s="8"/>
      <c r="E988" s="8"/>
      <c r="F988" s="13"/>
      <c r="G988" s="14"/>
      <c r="H988" s="9">
        <f>IF(ISBLANK(C988), "", SUMIFS(F$2:F988, C$2:C988, C988) - SUMIFS(G$2:G988, C$2:C988, C988))</f>
        <v>0</v>
      </c>
    </row>
    <row r="989" spans="1:8" ht="18" customHeight="1" x14ac:dyDescent="0.55000000000000004">
      <c r="A989" s="11"/>
      <c r="C989" s="12" t="str">
        <f>IF(ISBLANK(B989), "", INDEX('কাস্টমার তালিকা'!$A$4:$A$305, MATCH(B989, 'কাস্টমার তালিকা'!$B$4:$B$305, 0)))</f>
        <v/>
      </c>
      <c r="D989" s="8"/>
      <c r="E989" s="8"/>
      <c r="F989" s="13"/>
      <c r="G989" s="14"/>
      <c r="H989" s="9">
        <f>IF(ISBLANK(C989), "", SUMIFS(F$2:F989, C$2:C989, C989) - SUMIFS(G$2:G989, C$2:C989, C989))</f>
        <v>0</v>
      </c>
    </row>
    <row r="990" spans="1:8" ht="18" customHeight="1" x14ac:dyDescent="0.55000000000000004">
      <c r="A990" s="11"/>
      <c r="C990" s="12" t="str">
        <f>IF(ISBLANK(B990), "", INDEX('কাস্টমার তালিকা'!$A$4:$A$305, MATCH(B990, 'কাস্টমার তালিকা'!$B$4:$B$305, 0)))</f>
        <v/>
      </c>
      <c r="D990" s="8"/>
      <c r="E990" s="8"/>
      <c r="F990" s="13"/>
      <c r="G990" s="14"/>
      <c r="H990" s="9">
        <f>IF(ISBLANK(C990), "", SUMIFS(F$2:F990, C$2:C990, C990) - SUMIFS(G$2:G990, C$2:C990, C990))</f>
        <v>0</v>
      </c>
    </row>
    <row r="991" spans="1:8" ht="18" customHeight="1" x14ac:dyDescent="0.55000000000000004">
      <c r="A991" s="11"/>
      <c r="C991" s="12" t="str">
        <f>IF(ISBLANK(B991), "", INDEX('কাস্টমার তালিকা'!$A$4:$A$305, MATCH(B991, 'কাস্টমার তালিকা'!$B$4:$B$305, 0)))</f>
        <v/>
      </c>
      <c r="D991" s="8"/>
      <c r="E991" s="8"/>
      <c r="F991" s="13"/>
      <c r="G991" s="14"/>
      <c r="H991" s="9">
        <f>IF(ISBLANK(C991), "", SUMIFS(F$2:F991, C$2:C991, C991) - SUMIFS(G$2:G991, C$2:C991, C991))</f>
        <v>0</v>
      </c>
    </row>
    <row r="992" spans="1:8" ht="18" customHeight="1" x14ac:dyDescent="0.55000000000000004">
      <c r="A992" s="11"/>
      <c r="C992" s="12" t="str">
        <f>IF(ISBLANK(B992), "", INDEX('কাস্টমার তালিকা'!$A$4:$A$305, MATCH(B992, 'কাস্টমার তালিকা'!$B$4:$B$305, 0)))</f>
        <v/>
      </c>
      <c r="D992" s="8"/>
      <c r="E992" s="8"/>
      <c r="F992" s="13"/>
      <c r="G992" s="14"/>
      <c r="H992" s="9">
        <f>IF(ISBLANK(C992), "", SUMIFS(F$2:F992, C$2:C992, C992) - SUMIFS(G$2:G992, C$2:C992, C992))</f>
        <v>0</v>
      </c>
    </row>
    <row r="993" spans="1:8" ht="18" customHeight="1" x14ac:dyDescent="0.55000000000000004">
      <c r="A993" s="11"/>
      <c r="C993" s="12" t="str">
        <f>IF(ISBLANK(B993), "", INDEX('কাস্টমার তালিকা'!$A$4:$A$305, MATCH(B993, 'কাস্টমার তালিকা'!$B$4:$B$305, 0)))</f>
        <v/>
      </c>
      <c r="D993" s="8"/>
      <c r="E993" s="8"/>
      <c r="F993" s="13"/>
      <c r="G993" s="14"/>
      <c r="H993" s="9">
        <f>IF(ISBLANK(C993), "", SUMIFS(F$2:F993, C$2:C993, C993) - SUMIFS(G$2:G993, C$2:C993, C993))</f>
        <v>0</v>
      </c>
    </row>
    <row r="994" spans="1:8" ht="18" customHeight="1" x14ac:dyDescent="0.55000000000000004">
      <c r="A994" s="11"/>
      <c r="C994" s="12" t="str">
        <f>IF(ISBLANK(B994), "", INDEX('কাস্টমার তালিকা'!$A$4:$A$305, MATCH(B994, 'কাস্টমার তালিকা'!$B$4:$B$305, 0)))</f>
        <v/>
      </c>
      <c r="D994" s="8"/>
      <c r="E994" s="8"/>
      <c r="F994" s="13"/>
      <c r="G994" s="14"/>
      <c r="H994" s="9">
        <f>IF(ISBLANK(C994), "", SUMIFS(F$2:F994, C$2:C994, C994) - SUMIFS(G$2:G994, C$2:C994, C994))</f>
        <v>0</v>
      </c>
    </row>
    <row r="995" spans="1:8" ht="18" customHeight="1" x14ac:dyDescent="0.55000000000000004">
      <c r="A995" s="11"/>
      <c r="C995" s="12" t="str">
        <f>IF(ISBLANK(B995), "", INDEX('কাস্টমার তালিকা'!$A$4:$A$305, MATCH(B995, 'কাস্টমার তালিকা'!$B$4:$B$305, 0)))</f>
        <v/>
      </c>
      <c r="D995" s="8"/>
      <c r="E995" s="8"/>
      <c r="F995" s="13"/>
      <c r="G995" s="14"/>
      <c r="H995" s="9">
        <f>IF(ISBLANK(C995), "", SUMIFS(F$2:F995, C$2:C995, C995) - SUMIFS(G$2:G995, C$2:C995, C995))</f>
        <v>0</v>
      </c>
    </row>
    <row r="996" spans="1:8" ht="18" customHeight="1" x14ac:dyDescent="0.55000000000000004">
      <c r="A996" s="11"/>
      <c r="C996" s="12" t="str">
        <f>IF(ISBLANK(B996), "", INDEX('কাস্টমার তালিকা'!$A$4:$A$305, MATCH(B996, 'কাস্টমার তালিকা'!$B$4:$B$305, 0)))</f>
        <v/>
      </c>
      <c r="D996" s="8"/>
      <c r="E996" s="8"/>
      <c r="F996" s="13"/>
      <c r="G996" s="14"/>
      <c r="H996" s="9">
        <f>IF(ISBLANK(C996), "", SUMIFS(F$2:F996, C$2:C996, C996) - SUMIFS(G$2:G996, C$2:C996, C996))</f>
        <v>0</v>
      </c>
    </row>
    <row r="997" spans="1:8" ht="18" customHeight="1" x14ac:dyDescent="0.55000000000000004">
      <c r="A997" s="11"/>
      <c r="C997" s="12" t="str">
        <f>IF(ISBLANK(B997), "", INDEX('কাস্টমার তালিকা'!$A$4:$A$305, MATCH(B997, 'কাস্টমার তালিকা'!$B$4:$B$305, 0)))</f>
        <v/>
      </c>
      <c r="D997" s="8"/>
      <c r="E997" s="8"/>
      <c r="F997" s="13"/>
      <c r="G997" s="14"/>
      <c r="H997" s="9">
        <f>IF(ISBLANK(C997), "", SUMIFS(F$2:F997, C$2:C997, C997) - SUMIFS(G$2:G997, C$2:C997, C997))</f>
        <v>0</v>
      </c>
    </row>
    <row r="998" spans="1:8" ht="18" customHeight="1" x14ac:dyDescent="0.55000000000000004">
      <c r="A998" s="11"/>
      <c r="C998" s="12" t="str">
        <f>IF(ISBLANK(B998), "", INDEX('কাস্টমার তালিকা'!$A$4:$A$305, MATCH(B998, 'কাস্টমার তালিকা'!$B$4:$B$305, 0)))</f>
        <v/>
      </c>
      <c r="D998" s="8"/>
      <c r="E998" s="8"/>
      <c r="F998" s="13"/>
      <c r="G998" s="14"/>
      <c r="H998" s="9">
        <f>IF(ISBLANK(C998), "", SUMIFS(F$2:F998, C$2:C998, C998) - SUMIFS(G$2:G998, C$2:C998, C998))</f>
        <v>0</v>
      </c>
    </row>
    <row r="999" spans="1:8" ht="18" customHeight="1" x14ac:dyDescent="0.55000000000000004">
      <c r="A999" s="11"/>
      <c r="C999" s="12" t="str">
        <f>IF(ISBLANK(B999), "", INDEX('কাস্টমার তালিকা'!$A$4:$A$305, MATCH(B999, 'কাস্টমার তালিকা'!$B$4:$B$305, 0)))</f>
        <v/>
      </c>
      <c r="D999" s="8"/>
      <c r="E999" s="8"/>
      <c r="F999" s="13"/>
      <c r="G999" s="14"/>
      <c r="H999" s="9">
        <f>IF(ISBLANK(C999), "", SUMIFS(F$2:F999, C$2:C999, C999) - SUMIFS(G$2:G999, C$2:C999, C999))</f>
        <v>0</v>
      </c>
    </row>
    <row r="1000" spans="1:8" ht="18" customHeight="1" x14ac:dyDescent="0.55000000000000004">
      <c r="A1000" s="11"/>
      <c r="C1000" s="12" t="str">
        <f>IF(ISBLANK(B1000), "", INDEX('কাস্টমার তালিকা'!$A$4:$A$305, MATCH(B1000, 'কাস্টমার তালিকা'!$B$4:$B$305, 0)))</f>
        <v/>
      </c>
      <c r="D1000" s="8"/>
      <c r="E1000" s="8"/>
      <c r="F1000" s="13"/>
      <c r="G1000" s="14"/>
      <c r="H1000" s="9">
        <f>IF(ISBLANK(C1000), "", SUMIFS(F$2:F1000, C$2:C1000, C1000) - SUMIFS(G$2:G1000, C$2:C1000, C1000))</f>
        <v>0</v>
      </c>
    </row>
    <row r="1001" spans="1:8" ht="18" customHeight="1" x14ac:dyDescent="0.55000000000000004">
      <c r="A1001" s="11"/>
      <c r="C1001" s="12" t="str">
        <f>IF(ISBLANK(B1001), "", INDEX('কাস্টমার তালিকা'!$A$4:$A$305, MATCH(B1001, 'কাস্টমার তালিকা'!$B$4:$B$305, 0)))</f>
        <v/>
      </c>
      <c r="D1001" s="8"/>
      <c r="E1001" s="8"/>
      <c r="F1001" s="13"/>
      <c r="G1001" s="14"/>
      <c r="H1001" s="9">
        <f>IF(ISBLANK(C1001), "", SUMIFS(F$2:F1001, C$2:C1001, C1001) - SUMIFS(G$2:G1001, C$2:C1001, C1001))</f>
        <v>0</v>
      </c>
    </row>
    <row r="1002" spans="1:8" ht="18" customHeight="1" x14ac:dyDescent="0.55000000000000004">
      <c r="A1002" s="11"/>
      <c r="C1002" s="12" t="str">
        <f>IF(ISBLANK(B1002), "", INDEX('কাস্টমার তালিকা'!$A$4:$A$305, MATCH(B1002, 'কাস্টমার তালিকা'!$B$4:$B$305, 0)))</f>
        <v/>
      </c>
      <c r="D1002" s="8"/>
      <c r="E1002" s="8"/>
      <c r="F1002" s="13"/>
      <c r="G1002" s="14"/>
      <c r="H1002" s="9">
        <f>IF(ISBLANK(C1002), "", SUMIFS(F$2:F1002, C$2:C1002, C1002) - SUMIFS(G$2:G1002, C$2:C1002, C1002))</f>
        <v>0</v>
      </c>
    </row>
    <row r="1003" spans="1:8" ht="18" customHeight="1" x14ac:dyDescent="0.55000000000000004">
      <c r="A1003" s="11"/>
      <c r="C1003" s="12" t="str">
        <f>IF(ISBLANK(B1003), "", INDEX('কাস্টমার তালিকা'!$A$4:$A$305, MATCH(B1003, 'কাস্টমার তালিকা'!$B$4:$B$305, 0)))</f>
        <v/>
      </c>
      <c r="D1003" s="8"/>
      <c r="E1003" s="8"/>
      <c r="F1003" s="13"/>
      <c r="G1003" s="14"/>
      <c r="H1003" s="9">
        <f>IF(ISBLANK(C1003), "", SUMIFS(F$2:F1003, C$2:C1003, C1003) - SUMIFS(G$2:G1003, C$2:C1003, C1003))</f>
        <v>0</v>
      </c>
    </row>
    <row r="1004" spans="1:8" ht="18" customHeight="1" x14ac:dyDescent="0.55000000000000004">
      <c r="A1004" s="11"/>
      <c r="C1004" s="12" t="str">
        <f>IF(ISBLANK(B1004), "", INDEX('কাস্টমার তালিকা'!$A$4:$A$305, MATCH(B1004, 'কাস্টমার তালিকা'!$B$4:$B$305, 0)))</f>
        <v/>
      </c>
      <c r="D1004" s="8"/>
      <c r="E1004" s="8"/>
      <c r="F1004" s="13"/>
      <c r="G1004" s="14"/>
      <c r="H1004" s="9">
        <f>IF(ISBLANK(C1004), "", SUMIFS(F$2:F1004, C$2:C1004, C1004) - SUMIFS(G$2:G1004, C$2:C1004, C1004))</f>
        <v>0</v>
      </c>
    </row>
    <row r="1005" spans="1:8" x14ac:dyDescent="0.55000000000000004">
      <c r="A1005" s="2" t="s">
        <v>26</v>
      </c>
      <c r="F1005" s="13">
        <f>SUBTOTAL(109,LedgerTable[খরচ / বাকি (Debit)])</f>
        <v>203000</v>
      </c>
      <c r="G1005" s="14">
        <f>SUBTOTAL(109,LedgerTable[জমা (Credit)])</f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'কাস্টমার তালিকা'!$B$4:$B$305</xm:f>
          </x14:formula1>
          <xm:sqref>B2:B1004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ড্যাশবোর্ড</vt:lpstr>
      <vt:lpstr>কাস্টমার তালিকা</vt:lpstr>
      <vt:lpstr>খতিয়ান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Faruk</cp:lastModifiedBy>
  <dcterms:created xsi:type="dcterms:W3CDTF">2026-07-29T20:55:33Z</dcterms:created>
  <dcterms:modified xsi:type="dcterms:W3CDTF">2026-07-29T21:31:46Z</dcterms:modified>
</cp:coreProperties>
</file>