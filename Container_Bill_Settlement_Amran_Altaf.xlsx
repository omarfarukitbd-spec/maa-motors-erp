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iner_Settl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10.83203125" customWidth="1"/>
    <col min="2" max="2" width="55.83203125" customWidth="1"/>
    <col min="3" max="3" width="26.83203125" customWidth="1"/>
    <col min="4" max="4" width="22.83203125" customWidth="1"/>
    <col min="5" max="5" width="26.83203125" customWidth="1"/>
  </cols>
  <sheetData>
    <row r="1">
      <c r="A1" t="str">
        <v>BILL OF CONTAINER &amp; ACCOUNT SETTLEMENT (কন্টেইনার বিল ও হিসাব সমন্বয় বিবরণী)</v>
      </c>
    </row>
    <row r="3">
      <c r="A3" t="str">
        <v>LC NO:</v>
      </c>
      <c r="B3" t="str">
        <v>087426010354</v>
      </c>
      <c r="C3" t="str">
        <v/>
      </c>
      <c r="D3" t="str">
        <v>CLIENT / ACCOUNT:</v>
      </c>
      <c r="E3" t="str">
        <v>AMRAN (আমরান)</v>
      </c>
    </row>
    <row r="4">
      <c r="A4" t="str">
        <v>CONTAINER NO:</v>
      </c>
      <c r="B4" t="str">
        <v>[Enter Container No.]</v>
      </c>
      <c r="C4" t="str">
        <v/>
      </c>
      <c r="D4" t="str">
        <v>PREPARED BY / AGENT:</v>
      </c>
      <c r="E4" t="str">
        <v>ALTAF (আলতাফ)</v>
      </c>
    </row>
    <row r="5">
      <c r="A5" t="str">
        <v>DATE:</v>
      </c>
      <c r="B5" t="str">
        <v>07/09/2026</v>
      </c>
      <c r="C5" t="str">
        <v/>
      </c>
      <c r="D5" t="str">
        <v>CURRENCY:</v>
      </c>
      <c r="E5" t="str">
        <v>BDT (বাংলাদেশী টাকা)</v>
      </c>
    </row>
    <row r="7">
      <c r="A7" t="str">
        <v>[অংশ ১: পূর্বের হিসাব সমন্বয় - PREVIOUS ACCOUNT SETTLEMENT]</v>
      </c>
    </row>
    <row r="8">
      <c r="A8" t="str">
        <v>ক্র. (SL)</v>
      </c>
      <c r="B8" t="str">
        <v>হিসাব বিবরণী (Description)</v>
      </c>
      <c r="C8" t="str">
        <v>জমা / ক্রেডিট (+)</v>
      </c>
      <c r="D8" t="str">
        <v>খরচ / কর্তন (-)</v>
      </c>
      <c r="E8" t="str">
        <v>ব্যালেন্স (Net Balance)</v>
      </c>
    </row>
    <row r="9">
      <c r="A9">
        <v>1</v>
      </c>
      <c r="B9" t="str">
        <v>আলতাফকে আমরানের জমা / ক্রেডিট (Amran Credit to Altaf)</v>
      </c>
      <c r="C9" s="1">
        <v>90000</v>
      </c>
      <c r="E9" s="1">
        <v>90000</v>
      </c>
    </row>
    <row r="10">
      <c r="A10">
        <v>2</v>
      </c>
      <c r="B10" t="str">
        <v>১ম খরচ বাবদ কর্তন (1st Expense Deduction)</v>
      </c>
      <c r="D10" s="1">
        <v>34978</v>
      </c>
      <c r="E10" s="1">
        <f>E9-D10</f>
      </c>
    </row>
    <row r="11">
      <c r="A11">
        <v>3</v>
      </c>
      <c r="B11" t="str">
        <v>২য় খরচ বাবদ কর্তন (2nd Expense Deduction)</v>
      </c>
      <c r="D11" s="1">
        <v>31753</v>
      </c>
      <c r="E11" s="1">
        <f>E10-D11</f>
      </c>
    </row>
    <row r="12">
      <c r="A12">
        <v>4</v>
      </c>
      <c r="B12" t="str">
        <v>৩য় খরচ বাবদ কর্তন (3rd Expense Deduction)</v>
      </c>
      <c r="D12" s="1">
        <v>34288</v>
      </c>
      <c r="E12" s="1">
        <f>E11-D12</f>
      </c>
    </row>
    <row r="13">
      <c r="A13" t="str">
        <v/>
      </c>
      <c r="B13" t="str">
        <v>মোট কর্তন ও পূর্বের অবশিষ্ট হিসাব (Total Deduction &amp; Balance):</v>
      </c>
      <c r="C13" s="1">
        <v>90000</v>
      </c>
      <c r="D13" s="1">
        <f>SUM(D10:D12)</f>
      </c>
      <c r="E13" s="1">
        <f>C13-D13</f>
      </c>
    </row>
    <row r="14">
      <c r="A14" t="str">
        <v/>
      </c>
      <c r="B14" t="str">
        <v>মন্তব্য: আলতাফের পূর্বের পাওনা বকেয়া (Shortfall Due to Altaf) = ১১,০১৯ টাকা</v>
      </c>
    </row>
    <row r="16">
      <c r="A16" t="str">
        <v>[অংশ ২: কন্টেইনার খালাস ও পোর্ট সংক্রান্ত খরচ - CONTAINER &amp; PORT EXPENSES]</v>
      </c>
    </row>
    <row r="17">
      <c r="A17" t="str">
        <v>LC NO:</v>
      </c>
      <c r="B17" t="str">
        <v>087426010354</v>
      </c>
      <c r="C17" t="str">
        <v>CLIENT:</v>
      </c>
      <c r="D17" t="str">
        <v>AMRAN</v>
      </c>
    </row>
    <row r="18">
      <c r="A18" t="str">
        <v>ক্র. (SL)</v>
      </c>
      <c r="B18" t="str">
        <v>খরচের খাত (Expense Head)</v>
      </c>
      <c r="C18" t="str">
        <v>পরিমাণ (Amount BDT)</v>
      </c>
      <c r="D18" t="str">
        <v>মন্তব্য / বিবরণ (Remarks)</v>
      </c>
    </row>
    <row r="19">
      <c r="A19">
        <v>1</v>
      </c>
      <c r="B19" t="str">
        <v>Freight Charge (জাহাজ ভাড়া)</v>
      </c>
      <c r="C19" s="1">
        <v>40000</v>
      </c>
      <c r="D19" t="str">
        <v>Port Freight</v>
      </c>
    </row>
    <row r="20">
      <c r="A20">
        <v>2</v>
      </c>
      <c r="B20" t="str">
        <v>Transport (লোকাল পরিবহন খরচ)</v>
      </c>
      <c r="C20" s="1">
        <v>4000</v>
      </c>
      <c r="D20" t="str">
        <v>Local Haulage</v>
      </c>
    </row>
    <row r="21">
      <c r="A21">
        <v>3</v>
      </c>
      <c r="B21" t="str">
        <v>Port Handling Charge (বন্দর হ্যান্ডলিং চার্জ)</v>
      </c>
      <c r="C21" s="1">
        <v>315</v>
      </c>
      <c r="D21" t="str">
        <v>Port Charge</v>
      </c>
    </row>
    <row r="22">
      <c r="A22">
        <v>4</v>
      </c>
      <c r="B22" t="str">
        <v>Bank Charge (ব্যাংক চার্জ)</v>
      </c>
      <c r="C22" s="1">
        <v>1000</v>
      </c>
      <c r="D22" t="str">
        <v>LC Document/Bank</v>
      </c>
    </row>
    <row r="23">
      <c r="A23">
        <v>5</v>
      </c>
      <c r="B23" t="str">
        <v>BL CGP TO ICD () / Amendment</v>
      </c>
      <c r="C23" s="1">
        <v>4048</v>
      </c>
      <c r="D23" t="str">
        <v>B/L Amendment / ICD Charge</v>
      </c>
    </row>
    <row r="24">
      <c r="A24" t="str">
        <v/>
      </c>
      <c r="B24" t="str">
        <v>মোট কন্টেইনার খালাস খরচ (Total Container Expenses):</v>
      </c>
      <c r="C24" s="1">
        <f>SUM(C19:C23)</f>
      </c>
      <c r="D24" t="str">
        <v>সর্বমোট প্রকৃত খরচ</v>
      </c>
    </row>
    <row r="26">
      <c r="A26" t="str">
        <v>[অংশ ৩: চলতি চালানের অগ্রিম জমা - ADVANCE PAYMENT RECEIVED]</v>
      </c>
    </row>
    <row r="27">
      <c r="A27" t="str">
        <v>ক্র. (SL)</v>
      </c>
      <c r="B27" t="str">
        <v>অগ্রিমের বিবরণ (Advance Description)</v>
      </c>
      <c r="C27" t="str">
        <v>পরিমাণ (Amount BDT)</v>
      </c>
      <c r="D27" t="str">
        <v>মাধ্যম (Payment Mode)</v>
      </c>
    </row>
    <row r="28">
      <c r="A28">
        <v>1</v>
      </c>
      <c r="B28" t="str">
        <v>L/C Amount Advance (এলসি বাবদ অগ্রিম জমা)</v>
      </c>
      <c r="C28" s="1">
        <v>18691</v>
      </c>
      <c r="D28" t="str">
        <v>Bank / LC AD</v>
      </c>
    </row>
    <row r="29">
      <c r="A29">
        <v>2</v>
      </c>
      <c r="B29" t="str">
        <v>Cash Advance (নগদ অগ্রিম জমা)</v>
      </c>
      <c r="C29" s="1">
        <v>30000</v>
      </c>
      <c r="D29" t="str">
        <v>Cash AD</v>
      </c>
    </row>
    <row r="30">
      <c r="A30" t="str">
        <v/>
      </c>
      <c r="B30" t="str">
        <v>মোট প্রাপ্ত অগ্রিম (Total Advance Received):</v>
      </c>
      <c r="C30" s="1">
        <f>SUM(C28:C29)</f>
      </c>
      <c r="D30" t="str">
        <v>সর্বমোট জমা</v>
      </c>
    </row>
    <row r="31">
      <c r="A31" t="str">
        <v/>
      </c>
      <c r="B31" t="str">
        <v>চলতি চালানের ঘাটতি / বকেয়া (Current Shipment Shortfall):</v>
      </c>
      <c r="C31" s="1">
        <f>C30-C24</f>
      </c>
      <c r="D31" t="str">
        <v>অগ্রিম ৪৮,৬৯১ - খরচ ৪৯,৩৬৩ = -৬৭২ টাকা</v>
      </c>
    </row>
    <row r="33">
      <c r="A33" t="str">
        <v>[অংশ ৪: সর্বমোট চূড়ান্ত সমন্বয় বিবরণী - FINAL CONSOLIDATED SETTLEMENT]</v>
      </c>
    </row>
    <row r="34">
      <c r="A34" t="str">
        <v>ক্র. (SL)</v>
      </c>
      <c r="B34" t="str">
        <v>চূড়ান্ত সমন্বয়ের খাত (Settlement Particulars)</v>
      </c>
      <c r="C34" t="str">
        <v>টাকার পরিমাণ (Amount BDT)</v>
      </c>
      <c r="D34" t="str">
        <v>স্থিতি / মন্তব্য (Status)</v>
      </c>
    </row>
    <row r="35">
      <c r="A35">
        <v>1</v>
      </c>
      <c r="B35" t="str">
        <v>পূর্বের হিসাবের ঘাটতি / আলতাফের পাওনা (Previous Account Due)</v>
      </c>
      <c r="C35" s="1">
        <v>11019</v>
      </c>
      <c r="D35" t="str">
        <v>আলতাফ প্রাপ্য (Debit)</v>
      </c>
    </row>
    <row r="36">
      <c r="A36">
        <v>2</v>
      </c>
      <c r="B36" t="str">
        <v>চলতি কন্টেইনার চালানের ঘাটতি (Current Shipment Shortfall)</v>
      </c>
      <c r="C36" s="1">
        <v>672</v>
      </c>
      <c r="D36" t="str">
        <v>আলতাফ প্রাপ্য (Debit)</v>
      </c>
    </row>
    <row r="37">
      <c r="A37" t="str">
        <v/>
      </c>
      <c r="B37" t="str">
        <v>সর্বমোট নিট প্রদেয় / বকেয়া (TOTAL NET PAYABLE TO ALTAF):</v>
      </c>
      <c r="C37" s="1">
        <f>C35+C36</f>
      </c>
      <c r="D37" t="str">
        <v>আলতাফকে পরিশোধযোগ্য (Total Debit)</v>
      </c>
    </row>
  </sheetData>
  <mergeCells count="6">
    <mergeCell ref="A1:E1"/>
    <mergeCell ref="A7:E7"/>
    <mergeCell ref="B14:E14"/>
    <mergeCell ref="A16:E16"/>
    <mergeCell ref="A26:E26"/>
    <mergeCell ref="A33:E33"/>
  </mergeCells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Container_Settlement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