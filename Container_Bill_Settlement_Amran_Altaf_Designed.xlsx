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কন্টেইনার_হিসাব_বিবরণী" state="visible" r:id="rId4"/>
  </sheets>
  <calcPr calcId="171027"/>
</workbook>
</file>

<file path=xl/sharedStrings.xml><?xml version="1.0" encoding="utf-8"?>
<sst xmlns="http://schemas.openxmlformats.org/spreadsheetml/2006/main" count="106" uniqueCount="84">
  <si>
    <t>BILL OF CONTAINER &amp; ACCOUNT SETTLEMENT (কন্টেইনার বিল ও হিসাব সমন্বয় বিবরণী)</t>
  </si>
  <si>
    <t>LC NO:</t>
  </si>
  <si>
    <t>087426010354</t>
  </si>
  <si>
    <t>CLIENT / ACCOUNT:</t>
  </si>
  <si>
    <t>AMRAN (আমরান)</t>
  </si>
  <si>
    <t>DATE:</t>
  </si>
  <si>
    <t>07/09/2026</t>
  </si>
  <si>
    <t>CLEARING AGENT:</t>
  </si>
  <si>
    <t>ALTAF (আলতাফ)</t>
  </si>
  <si>
    <t/>
  </si>
  <si>
    <t>মোট খালাস খরচ (Expenses)</t>
  </si>
  <si>
    <t>মোট প্রাপ্ত অগ্রিম (Advance)</t>
  </si>
  <si>
    <t>চলতি চালানের ঘাটতি (Shortfall)</t>
  </si>
  <si>
    <t>সর্বমোট নিট প্রদেয় (Payable)</t>
  </si>
  <si>
    <t>৫টি খরচের খাত</t>
  </si>
  <si>
    <t>এলসি ও নগদ প্রাপ্তি</t>
  </si>
  <si>
    <t>খরচ বেশি হয়েছে</t>
  </si>
  <si>
    <t>আলতাফকে প্রদেয়</t>
  </si>
  <si>
    <t>১. পূর্বের হিসাব সমন্বয় (Previous Running Account Settlement - Amran vs Altaf)</t>
  </si>
  <si>
    <t>ক্র. (SL)</t>
  </si>
  <si>
    <t>হিসাব বিবরণী (Particulars / Description)</t>
  </si>
  <si>
    <t>জমা / ক্রেডিট (+) [BDT]</t>
  </si>
  <si>
    <t>খরচ / কর্তন (-) [BDT]</t>
  </si>
  <si>
    <t>অবশিষ্ট ব্যালেন্স (Balance) [BDT]</t>
  </si>
  <si>
    <t>আলতাফকে আমরানের প্রাথমিক ক্রেডিট/জমা (Initial Credit to Altaf)</t>
  </si>
  <si>
    <t>১ম খরচ বাবদ কর্তন (1st Expense Adjusted)</t>
  </si>
  <si>
    <t>২য় খরচ বাবদ কর্তন (2nd Expense Adjusted)</t>
  </si>
  <si>
    <t>৩য় খরচ বাবদ কর্তন (3rd Expense Adjusted)</t>
  </si>
  <si>
    <t>মোট কর্তন ও পূর্বের অবশিষ্ট স্থিতি (Total Deduction &amp; Balance):</t>
  </si>
  <si>
    <t>➔ বিশ্লেষণ: ৯০,০০০ টাকা জমার বিপরীতে ১,০১,০১৯ টাকা খরচ হওয়ায় আলতাফের পূর্বের পাওনা বকেয়া = ১১,০১৯ টাকা</t>
  </si>
  <si>
    <t>২. চলতি কন্টেইনার খালাস ও পোর্ট সংক্রান্ত খরচ (Container Clearing &amp; Port Charges — LC: 087426010354)</t>
  </si>
  <si>
    <t>খরচের খাত (Expense Head)</t>
  </si>
  <si>
    <t>টাকার পরিমাণ (Amount BDT)</t>
  </si>
  <si>
    <t>ভাউচার / খাত (Category)</t>
  </si>
  <si>
    <t>মন্তব্য (Remarks)</t>
  </si>
  <si>
    <t>Freight Charge (জাহাজ ভাড়া)</t>
  </si>
  <si>
    <t>Shipping Line</t>
  </si>
  <si>
    <t>কন্টেইনার ফ্রেইট চার্জ</t>
  </si>
  <si>
    <t>Transport Charge (লোকাল পরিবহন খরচ)</t>
  </si>
  <si>
    <t>Haulage</t>
  </si>
  <si>
    <t>পোর্ট থেকে মালামাল পরিবহন</t>
  </si>
  <si>
    <t>Port Handling Charge (বন্দর হ্যান্ডলিং চার্জ)</t>
  </si>
  <si>
    <t>Port Authority</t>
  </si>
  <si>
    <t>পোর্টে মালামাল ওঠানো-নামানো</t>
  </si>
  <si>
    <t>Bank Charge (ব্যাংক চার্জ)</t>
  </si>
  <si>
    <t>Commercial Bank</t>
  </si>
  <si>
    <t>এলসি ডকুমেন্ট ও পেমেন্ট প্রসেসিং</t>
  </si>
  <si>
    <t>BL CGP TO ICD ($1,100) / Amendment</t>
  </si>
  <si>
    <t>C&amp;F / Port</t>
  </si>
  <si>
    <t>বি/এল সংশোধন ও আইসিডি চার্জ</t>
  </si>
  <si>
    <t>মোট কন্টেইনার খালাস খরচ (Total Container Expenses):</t>
  </si>
  <si>
    <t>সর্বমোট খরচ</t>
  </si>
  <si>
    <t>প্রকৃত খরচ সম্পন্ন</t>
  </si>
  <si>
    <t>৩. চলতি চালানের প্রাপ্ত অগ্রিম ও চলতি ঘাটতি (Advance Received vs Expenses for this Shipment)</t>
  </si>
  <si>
    <t>অগ্রিমের বিবরণ (Advance Particulars)</t>
  </si>
  <si>
    <t>মাধ্যম (Payment Mode)</t>
  </si>
  <si>
    <t>হিসাব স্থিতি (Status)</t>
  </si>
  <si>
    <t>L/C Amount Advance (এলসি বাবদ অগ্রিম জমা)</t>
  </si>
  <si>
    <t>Bank / LC AD</t>
  </si>
  <si>
    <t>জমা প্রাপ্তি সম্পন্ন</t>
  </si>
  <si>
    <t>Cash Advance (নগদ অগ্রিম জমা)</t>
  </si>
  <si>
    <t>Cash AD</t>
  </si>
  <si>
    <t>মোট প্রাপ্ত অগ্রিম (Total Advance Received):</t>
  </si>
  <si>
    <t>মোট জমা</t>
  </si>
  <si>
    <t>ক্রেডিট স্থিতি (+)</t>
  </si>
  <si>
    <t>চলতি চালানের ঘাটতি / বকেয়া (Current Shipment Shortfall):</t>
  </si>
  <si>
    <t>ঘাটতি (Shortfall)</t>
  </si>
  <si>
    <t>আলতাফের অতিরিক্ত খরচ</t>
  </si>
  <si>
    <t>➔ বিশ্লেষণ: প্রাপ্ত অগ্রিম ৪৮,৬৯১ টাকা থেকে মোট খরচ ৪৯,৩৬৩ টাকা বাদ দিলে ঘাটতি থাকে ৬৭২ টাকা (আলতাফ অতিরিক্ত খরচ করেছেন)</t>
  </si>
  <si>
    <t>৪. সর্বমোট চূড়ান্ত সমন্বয় ও নিষ্পত্তি বিবরণী (FINAL CONSOLIDATED SETTLEMENT &amp; CLEARANCE)</t>
  </si>
  <si>
    <t>চূড়ান্ত সমন্বয়ের খাত (Settlement Particulars)</t>
  </si>
  <si>
    <t>প্রদেয় পরিমাণ (Payable BDT)</t>
  </si>
  <si>
    <t>দাবিকারক (Payable To)</t>
  </si>
  <si>
    <t>পূর্বের হিসাবের ঘাটতি / বকেয়া (Previous Account Shortfall)</t>
  </si>
  <si>
    <t>আলতাফ (Altaf)</t>
  </si>
  <si>
    <t>আলতাফ প্রাপ্য (Debit)</t>
  </si>
  <si>
    <t>চলতি কন্টেইনার চালানের ঘাটতি (Current Shipment Shortfall)</t>
  </si>
  <si>
    <t>আলতাফকে সর্বমোট নিট প্রদেয় (TOTAL NET PAYABLE TO ALTAF):</t>
  </si>
  <si>
    <t>আলতাফ প্রাপ্য</t>
  </si>
  <si>
    <t>পরিশোধযোগ্য নিট বকেয়া</t>
  </si>
  <si>
    <t>টাকা কথায় (In Words): এগারো হাজার ছয়শত একানব্বই টাকা মাত্র (Eleven Thousand Six Hundred Ninety One Taka Only)</t>
  </si>
  <si>
    <t>---------------------------------------------------</t>
  </si>
  <si>
    <t>অনুমোদনকারী / ক্লায়েন্ট স্বাক্ষর (Amran)</t>
  </si>
  <si>
    <t>প্রস্তুতকারক / এজেন্ট স্বাক্ষর (Altaf)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</si>
</sst>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  <color rgb="475569"/>
      <name val="Calibri"/>
    </font>
    <font>
      <b/>
      <color rgb="0F172A"/>
      <name val="Calibri"/>
    </font>
    <font>
      <b/>
      <color rgb="FFFFFF"/>
      <sz val="9.5"/>
      <name val="Calibri"/>
    </font>
    <font>
      <b/>
      <color rgb="0F172A"/>
      <sz val="14"/>
      <name val="Calibri"/>
    </font>
    <font>
      <i/>
      <color rgb="64748B"/>
      <sz val="9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sz val="11"/>
      <name val="Calibri"/>
    </font>
    <font>
      <color rgb="059669"/>
      <sz val="11"/>
      <name val="Calibri"/>
    </font>
    <font>
      <color rgb="DC2626"/>
      <sz val="11"/>
      <name val="Calibri"/>
    </font>
    <font>
      <b/>
      <color rgb="DC2626"/>
      <sz val="11"/>
      <name val="Calibri"/>
    </font>
    <font>
      <b/>
      <sz val="11"/>
      <name val="Calibri"/>
    </font>
    <font>
      <b/>
      <i/>
      <color rgb="DC2626"/>
      <sz val="9.5"/>
      <name val="Calibri"/>
    </font>
    <font>
      <b/>
      <color rgb="1D4ED8"/>
      <sz val="11"/>
      <name val="Calibri"/>
    </font>
    <font>
      <b/>
      <color rgb="059669"/>
      <sz val="11"/>
      <name val="Calibri"/>
    </font>
    <font>
      <b/>
      <color rgb="FFFFFF"/>
      <sz val="12"/>
      <name val="Calibri"/>
    </font>
    <font>
      <b/>
      <i/>
      <color rgb="991B1B"/>
      <sz val="10"/>
      <name val="Calibri"/>
    </font>
    <font>
      <b/>
      <color rgb="475569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2563EB"/>
      </patternFill>
    </fill>
    <fill>
      <patternFill patternType="solid">
        <fgColor rgb="059669"/>
      </patternFill>
    </fill>
    <fill>
      <patternFill patternType="solid">
        <fgColor rgb="D97706"/>
      </patternFill>
    </fill>
    <fill>
      <patternFill patternType="solid">
        <fgColor rgb="DC2626"/>
      </patternFill>
    </fill>
    <fill>
      <patternFill patternType="solid">
        <fgColor rgb="EFF6FF"/>
      </patternFill>
    </fill>
    <fill>
      <patternFill patternType="solid">
        <fgColor rgb="ECFDF5"/>
      </patternFill>
    </fill>
    <fill>
      <patternFill patternType="solid">
        <fgColor rgb="FEF3C7"/>
      </patternFill>
    </fill>
    <fill>
      <patternFill patternType="solid">
        <fgColor rgb="FEF2F2"/>
      </patternFill>
    </fill>
    <fill>
      <patternFill patternType="solid">
        <fgColor rgb="1E293B"/>
      </patternFill>
    </fill>
    <fill>
      <patternFill patternType="solid">
        <fgColor rgb="334155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double">
        <color rgb="000000"/>
      </bottom>
      <diagonal/>
    </border>
    <border>
      <left style="thin">
        <color rgb="991B1B"/>
      </left>
      <right style="thin">
        <color rgb="991B1B"/>
      </right>
      <top style="medium">
        <color rgb="991B1B"/>
      </top>
      <bottom style="double">
        <color rgb="991B1B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1" borderId="0" xfId="0" applyFont="1" applyFill="1" applyAlignment="1">
      <alignment vertical="center" indent="1"/>
    </xf>
    <xf numFmtId="0" fontId="8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3" fontId="11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0" fontId="13" fillId="10" borderId="2" xfId="0" applyFont="1" applyFill="1" applyBorder="1" applyAlignment="1">
      <alignment horizontal="right" vertical="center"/>
    </xf>
    <xf numFmtId="0" fontId="13" fillId="10" borderId="2" xfId="0" applyFont="1" applyFill="1" applyBorder="1" applyAlignment="1">
      <alignment horizontal="left" vertical="center"/>
    </xf>
    <xf numFmtId="3" fontId="13" fillId="10" borderId="2" xfId="0" applyNumberFormat="1" applyFont="1" applyFill="1" applyBorder="1" applyAlignment="1">
      <alignment horizontal="right" vertical="center"/>
    </xf>
    <xf numFmtId="3" fontId="12" fillId="10" borderId="2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 indent="1"/>
    </xf>
    <xf numFmtId="0" fontId="8" fillId="12" borderId="1" xfId="0" applyFont="1" applyFill="1" applyBorder="1" applyAlignment="1">
      <alignment horizontal="right" vertical="center"/>
    </xf>
    <xf numFmtId="0" fontId="13" fillId="7" borderId="2" xfId="0" applyFont="1" applyFill="1" applyBorder="1" applyAlignment="1">
      <alignment horizontal="left" vertical="center"/>
    </xf>
    <xf numFmtId="3" fontId="15" fillId="7" borderId="2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left" vertical="center"/>
    </xf>
    <xf numFmtId="3" fontId="16" fillId="8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 indent="1"/>
    </xf>
    <xf numFmtId="0" fontId="17" fillId="6" borderId="3" xfId="0" applyFont="1" applyFill="1" applyBorder="1" applyAlignment="1">
      <alignment horizontal="left" vertical="center"/>
    </xf>
    <xf numFmtId="3" fontId="1" fillId="6" borderId="3" xfId="0" applyNumberFormat="1" applyFont="1" applyFill="1" applyBorder="1" applyAlignment="1">
      <alignment horizontal="right" vertical="center"/>
    </xf>
    <xf numFmtId="0" fontId="18" fillId="10" borderId="0" xfId="0" applyFont="1" applyFill="1" applyAlignment="1">
      <alignment vertical="center" indent="1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4"/>
  <sheetViews>
    <sheetView workbookViewId="0"/>
  </sheetViews>
  <sheetFormatPr defaultRowHeight="15" outlineLevelRow="0" outlineLevelCol="0" x14ac:dyDescent="55"/>
  <cols>
    <col min="2" max="2" width="56" customWidth="1"/>
    <col min="3" max="3" width="26" customWidth="1"/>
    <col min="4" max="4" width="24" customWidth="1"/>
    <col min="5" max="5" width="32" customWidth="1"/>
  </cols>
  <sheetData>
    <row r="2" ht="38" customHeight="1" spans="1:5" x14ac:dyDescent="0.25">
      <c r="A2" s="1" t="s">
        <v>0</v>
      </c>
      <c r="B2" s="1"/>
      <c r="C2" s="1"/>
      <c r="D2" s="1"/>
      <c r="E2" s="1"/>
    </row>
    <row r="3" ht="24" customHeight="1" spans="1:5" x14ac:dyDescent="0.25">
      <c r="A3" s="2" t="s">
        <v>1</v>
      </c>
      <c r="B3" s="3" t="s">
        <v>2</v>
      </c>
      <c r="C3" s="3"/>
      <c r="D3" s="2" t="s">
        <v>3</v>
      </c>
      <c r="E3" s="3" t="s">
        <v>4</v>
      </c>
    </row>
    <row r="4" ht="22" customHeight="1" spans="1:5" x14ac:dyDescent="0.25">
      <c r="A4" s="2" t="s">
        <v>5</v>
      </c>
      <c r="B4" s="3" t="s">
        <v>6</v>
      </c>
      <c r="C4" s="3"/>
      <c r="D4" s="2" t="s">
        <v>7</v>
      </c>
      <c r="E4" s="3" t="s">
        <v>8</v>
      </c>
    </row>
    <row r="6" ht="20" customHeight="1" spans="1:5" x14ac:dyDescent="0.25">
      <c r="A6" t="s">
        <v>9</v>
      </c>
      <c r="B6" s="4" t="s">
        <v>10</v>
      </c>
      <c r="C6" s="5" t="s">
        <v>11</v>
      </c>
      <c r="D6" s="6" t="s">
        <v>12</v>
      </c>
      <c r="E6" s="7" t="s">
        <v>13</v>
      </c>
    </row>
    <row r="7" ht="32" customHeight="1" spans="1:5" x14ac:dyDescent="0.25">
      <c r="A7" t="s">
        <v>9</v>
      </c>
      <c r="B7" s="8">
        <f>C26</f>
      </c>
      <c r="C7" s="9">
        <f>C32</f>
      </c>
      <c r="D7" s="10">
        <f>C33</f>
      </c>
      <c r="E7" s="11">
        <f>C40</f>
      </c>
    </row>
    <row r="8" ht="18" customHeight="1" spans="1:5" x14ac:dyDescent="0.25">
      <c r="A8" t="s">
        <v>9</v>
      </c>
      <c r="B8" s="12" t="s">
        <v>14</v>
      </c>
      <c r="C8" s="12" t="s">
        <v>15</v>
      </c>
      <c r="D8" s="12" t="s">
        <v>16</v>
      </c>
      <c r="E8" s="12" t="s">
        <v>17</v>
      </c>
    </row>
    <row r="10" ht="26" customHeight="1" spans="1:5" x14ac:dyDescent="0.25">
      <c r="A10" s="13" t="s">
        <v>18</v>
      </c>
      <c r="B10" s="13"/>
      <c r="C10" s="13"/>
      <c r="D10" s="13"/>
      <c r="E10" s="13"/>
    </row>
    <row r="11" ht="24" customHeight="1" spans="1:5" x14ac:dyDescent="0.25">
      <c r="A11" s="14" t="s">
        <v>19</v>
      </c>
      <c r="B11" s="15" t="s">
        <v>20</v>
      </c>
      <c r="C11" s="14" t="s">
        <v>21</v>
      </c>
      <c r="D11" s="14" t="s">
        <v>22</v>
      </c>
      <c r="E11" s="14" t="s">
        <v>23</v>
      </c>
    </row>
    <row r="12" ht="22" customHeight="1" spans="1:5" x14ac:dyDescent="0.25">
      <c r="A12" s="16">
        <v>1</v>
      </c>
      <c r="B12" s="17" t="s">
        <v>24</v>
      </c>
      <c r="C12" s="18">
        <v>90000</v>
      </c>
      <c r="D12" s="19"/>
      <c r="E12" s="20">
        <f>C12</f>
      </c>
    </row>
    <row r="13" ht="22" customHeight="1" spans="1:5" x14ac:dyDescent="0.25">
      <c r="A13" s="16">
        <v>2</v>
      </c>
      <c r="B13" s="17" t="s">
        <v>25</v>
      </c>
      <c r="C13" s="18"/>
      <c r="D13" s="19">
        <v>34978</v>
      </c>
      <c r="E13" s="20">
        <f>E12-D13</f>
      </c>
    </row>
    <row r="14" ht="22" customHeight="1" spans="1:5" x14ac:dyDescent="0.25">
      <c r="A14" s="16">
        <v>3</v>
      </c>
      <c r="B14" s="17" t="s">
        <v>26</v>
      </c>
      <c r="C14" s="18"/>
      <c r="D14" s="19">
        <v>31753</v>
      </c>
      <c r="E14" s="20">
        <f>E13-D14</f>
      </c>
    </row>
    <row r="15" ht="22" customHeight="1" spans="1:5" x14ac:dyDescent="0.25">
      <c r="A15" s="16">
        <v>4</v>
      </c>
      <c r="B15" s="17" t="s">
        <v>27</v>
      </c>
      <c r="C15" s="18"/>
      <c r="D15" s="19">
        <v>34288</v>
      </c>
      <c r="E15" s="21">
        <f>E14-D15</f>
      </c>
    </row>
    <row r="16" ht="25" customHeight="1" spans="1:5" x14ac:dyDescent="0.25">
      <c r="A16" s="22" t="s">
        <v>9</v>
      </c>
      <c r="B16" s="23" t="s">
        <v>28</v>
      </c>
      <c r="C16" s="24">
        <v>90000</v>
      </c>
      <c r="D16" s="25">
        <f>SUM(D13:D15)</f>
      </c>
      <c r="E16" s="25">
        <f>C16-D16</f>
      </c>
    </row>
    <row r="17" ht="20" customHeight="1" spans="1:5" x14ac:dyDescent="0.25">
      <c r="A17" s="26" t="s">
        <v>29</v>
      </c>
      <c r="B17" s="26"/>
      <c r="C17" s="26"/>
      <c r="D17" s="26"/>
      <c r="E17" s="26"/>
    </row>
    <row r="19" ht="26" customHeight="1" spans="1:5" x14ac:dyDescent="0.25">
      <c r="A19" s="13" t="s">
        <v>30</v>
      </c>
      <c r="B19" s="13"/>
      <c r="C19" s="13"/>
      <c r="D19" s="13"/>
      <c r="E19" s="13"/>
    </row>
    <row r="20" ht="24" customHeight="1" spans="1:5" x14ac:dyDescent="0.25">
      <c r="A20" s="14" t="s">
        <v>19</v>
      </c>
      <c r="B20" s="15" t="s">
        <v>31</v>
      </c>
      <c r="C20" s="27" t="s">
        <v>32</v>
      </c>
      <c r="D20" s="15" t="s">
        <v>33</v>
      </c>
      <c r="E20" s="15" t="s">
        <v>34</v>
      </c>
    </row>
    <row r="21" ht="22" customHeight="1" spans="1:5" x14ac:dyDescent="0.25">
      <c r="A21" s="16">
        <v>1</v>
      </c>
      <c r="B21" s="17" t="s">
        <v>35</v>
      </c>
      <c r="C21" s="20">
        <v>40000</v>
      </c>
      <c r="D21" s="17" t="s">
        <v>36</v>
      </c>
      <c r="E21" s="17" t="s">
        <v>37</v>
      </c>
    </row>
    <row r="22" ht="22" customHeight="1" spans="1:5" x14ac:dyDescent="0.25">
      <c r="A22" s="16">
        <v>2</v>
      </c>
      <c r="B22" s="17" t="s">
        <v>38</v>
      </c>
      <c r="C22" s="20">
        <v>4000</v>
      </c>
      <c r="D22" s="17" t="s">
        <v>39</v>
      </c>
      <c r="E22" s="17" t="s">
        <v>40</v>
      </c>
    </row>
    <row r="23" ht="22" customHeight="1" spans="1:5" x14ac:dyDescent="0.25">
      <c r="A23" s="16">
        <v>3</v>
      </c>
      <c r="B23" s="17" t="s">
        <v>41</v>
      </c>
      <c r="C23" s="20">
        <v>315</v>
      </c>
      <c r="D23" s="17" t="s">
        <v>42</v>
      </c>
      <c r="E23" s="17" t="s">
        <v>43</v>
      </c>
    </row>
    <row r="24" ht="22" customHeight="1" spans="1:5" x14ac:dyDescent="0.25">
      <c r="A24" s="16">
        <v>4</v>
      </c>
      <c r="B24" s="17" t="s">
        <v>44</v>
      </c>
      <c r="C24" s="20">
        <v>1000</v>
      </c>
      <c r="D24" s="17" t="s">
        <v>45</v>
      </c>
      <c r="E24" s="17" t="s">
        <v>46</v>
      </c>
    </row>
    <row r="25" ht="22" customHeight="1" spans="1:5" x14ac:dyDescent="0.25">
      <c r="A25" s="16">
        <v>5</v>
      </c>
      <c r="B25" s="17" t="s">
        <v>47</v>
      </c>
      <c r="C25" s="20">
        <v>4048</v>
      </c>
      <c r="D25" s="17" t="s">
        <v>48</v>
      </c>
      <c r="E25" s="17" t="s">
        <v>49</v>
      </c>
    </row>
    <row r="26" ht="25" customHeight="1" spans="1:5" x14ac:dyDescent="0.25">
      <c r="A26" s="28" t="s">
        <v>9</v>
      </c>
      <c r="B26" s="28" t="s">
        <v>50</v>
      </c>
      <c r="C26" s="29">
        <f>SUM(C21:C25)</f>
      </c>
      <c r="D26" s="28" t="s">
        <v>51</v>
      </c>
      <c r="E26" s="28" t="s">
        <v>52</v>
      </c>
    </row>
    <row r="28" ht="26" customHeight="1" spans="1:5" x14ac:dyDescent="0.25">
      <c r="A28" s="13" t="s">
        <v>53</v>
      </c>
      <c r="B28" s="13"/>
      <c r="C28" s="13"/>
      <c r="D28" s="13"/>
      <c r="E28" s="13"/>
    </row>
    <row r="29" ht="24" customHeight="1" spans="1:5" x14ac:dyDescent="0.25">
      <c r="A29" s="14" t="s">
        <v>19</v>
      </c>
      <c r="B29" s="15" t="s">
        <v>54</v>
      </c>
      <c r="C29" s="27" t="s">
        <v>32</v>
      </c>
      <c r="D29" s="15" t="s">
        <v>55</v>
      </c>
      <c r="E29" s="15" t="s">
        <v>56</v>
      </c>
    </row>
    <row r="30" ht="22" customHeight="1" spans="1:5" x14ac:dyDescent="0.25">
      <c r="A30" s="16">
        <v>1</v>
      </c>
      <c r="B30" s="17" t="s">
        <v>57</v>
      </c>
      <c r="C30" s="18">
        <v>18691</v>
      </c>
      <c r="D30" s="17" t="s">
        <v>58</v>
      </c>
      <c r="E30" s="17" t="s">
        <v>59</v>
      </c>
    </row>
    <row r="31" ht="22" customHeight="1" spans="1:5" x14ac:dyDescent="0.25">
      <c r="A31" s="16">
        <v>2</v>
      </c>
      <c r="B31" s="17" t="s">
        <v>60</v>
      </c>
      <c r="C31" s="18">
        <v>30000</v>
      </c>
      <c r="D31" s="17" t="s">
        <v>61</v>
      </c>
      <c r="E31" s="17" t="s">
        <v>59</v>
      </c>
    </row>
    <row r="32" ht="24" customHeight="1" spans="1:5" x14ac:dyDescent="0.25">
      <c r="A32" s="30" t="s">
        <v>9</v>
      </c>
      <c r="B32" s="30" t="s">
        <v>62</v>
      </c>
      <c r="C32" s="31">
        <f>SUM(C30:C31)</f>
      </c>
      <c r="D32" s="30" t="s">
        <v>63</v>
      </c>
      <c r="E32" s="30" t="s">
        <v>64</v>
      </c>
    </row>
    <row r="33" ht="25" customHeight="1" spans="1:5" x14ac:dyDescent="0.25">
      <c r="A33" s="23" t="s">
        <v>9</v>
      </c>
      <c r="B33" s="23" t="s">
        <v>65</v>
      </c>
      <c r="C33" s="25">
        <f>C32-C26</f>
      </c>
      <c r="D33" s="23" t="s">
        <v>66</v>
      </c>
      <c r="E33" s="23" t="s">
        <v>67</v>
      </c>
    </row>
    <row r="34" ht="20" customHeight="1" spans="1:5" x14ac:dyDescent="0.25">
      <c r="A34" s="26" t="s">
        <v>68</v>
      </c>
      <c r="B34" s="26"/>
      <c r="C34" s="26"/>
      <c r="D34" s="26"/>
      <c r="E34" s="26"/>
    </row>
    <row r="36" ht="26" customHeight="1" spans="1:5" x14ac:dyDescent="0.25">
      <c r="A36" s="32" t="s">
        <v>69</v>
      </c>
      <c r="B36" s="32"/>
      <c r="C36" s="32"/>
      <c r="D36" s="32"/>
      <c r="E36" s="32"/>
    </row>
    <row r="37" ht="24" customHeight="1" spans="1:5" x14ac:dyDescent="0.25">
      <c r="A37" s="14" t="s">
        <v>19</v>
      </c>
      <c r="B37" s="15" t="s">
        <v>70</v>
      </c>
      <c r="C37" s="27" t="s">
        <v>71</v>
      </c>
      <c r="D37" s="15" t="s">
        <v>72</v>
      </c>
      <c r="E37" s="15" t="s">
        <v>56</v>
      </c>
    </row>
    <row r="38" ht="22" customHeight="1" spans="1:5" x14ac:dyDescent="0.25">
      <c r="A38" s="16">
        <v>1</v>
      </c>
      <c r="B38" s="17" t="s">
        <v>73</v>
      </c>
      <c r="C38" s="21">
        <f>ABS(E16)</f>
      </c>
      <c r="D38" s="17" t="s">
        <v>74</v>
      </c>
      <c r="E38" s="17" t="s">
        <v>75</v>
      </c>
    </row>
    <row r="39" ht="22" customHeight="1" spans="1:5" x14ac:dyDescent="0.25">
      <c r="A39" s="16">
        <v>2</v>
      </c>
      <c r="B39" s="17" t="s">
        <v>76</v>
      </c>
      <c r="C39" s="21">
        <f>ABS(C33)</f>
      </c>
      <c r="D39" s="17" t="s">
        <v>74</v>
      </c>
      <c r="E39" s="17" t="s">
        <v>75</v>
      </c>
    </row>
    <row r="40" ht="36" customHeight="1" spans="1:5" x14ac:dyDescent="0.25">
      <c r="A40" s="33" t="s">
        <v>9</v>
      </c>
      <c r="B40" s="33" t="s">
        <v>77</v>
      </c>
      <c r="C40" s="34">
        <f>C38+C39</f>
      </c>
      <c r="D40" s="33" t="s">
        <v>78</v>
      </c>
      <c r="E40" s="33" t="s">
        <v>79</v>
      </c>
    </row>
    <row r="41" ht="24" customHeight="1" spans="2:5" x14ac:dyDescent="0.25">
      <c r="B41" s="35" t="s">
        <v>80</v>
      </c>
      <c r="C41" s="35"/>
      <c r="D41" s="35"/>
      <c r="E41" s="35"/>
    </row>
    <row r="43" spans="1:5" x14ac:dyDescent="0.25">
      <c r="A43" t="s">
        <v>9</v>
      </c>
      <c r="B43" t="s">
        <v>81</v>
      </c>
      <c r="C43" t="s">
        <v>9</v>
      </c>
      <c r="D43" t="s">
        <v>9</v>
      </c>
      <c r="E43" t="s">
        <v>81</v>
      </c>
    </row>
    <row r="44" spans="1:5" x14ac:dyDescent="0.25">
      <c r="A44" t="s">
        <v>9</v>
      </c>
      <c r="B44" s="36" t="s">
        <v>82</v>
      </c>
      <c r="C44" t="s">
        <v>9</v>
      </c>
      <c r="D44" t="s">
        <v>9</v>
      </c>
      <c r="E44" s="36" t="s">
        <v>83</v>
      </c>
    </row>
  </sheetData>
  <mergeCells count="10">
    <mergeCell ref="A2:E2"/>
    <mergeCell ref="B3:C3"/>
    <mergeCell ref="B4:C4"/>
    <mergeCell ref="A10:E10"/>
    <mergeCell ref="A17:E17"/>
    <mergeCell ref="A19:E19"/>
    <mergeCell ref="A28:E28"/>
    <mergeCell ref="A34:E34"/>
    <mergeCell ref="A36:E36"/>
    <mergeCell ref="B41:E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কন্টেইনার_হিসাব_বিবরণী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MOTORS ERP</dc:creator>
  <dc:title/>
  <dc:subject/>
  <dc:description/>
  <cp:keywords/>
  <cp:category/>
  <cp:lastModifiedBy>MAA MOTORS ERP</cp:lastModifiedBy>
  <dcterms:created xsi:type="dcterms:W3CDTF">2026-09-07T12:45:04Z</dcterms:created>
  <dcterms:modified xsi:type="dcterms:W3CDTF">2026-09-07T12:45:04Z</dcterms:modified>
</cp:coreProperties>
</file>