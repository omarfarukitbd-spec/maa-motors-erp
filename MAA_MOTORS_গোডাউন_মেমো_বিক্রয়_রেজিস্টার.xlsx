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গোডাউন মাল বিক্রয় রেজিস্টার" state="visible" r:id="rId4"/>
  </sheets>
  <calcPr calcId="171027"/>
</workbook>
</file>

<file path=xl/sharedStrings.xml><?xml version="1.0" encoding="utf-8"?>
<sst xmlns="http://schemas.openxmlformats.org/spreadsheetml/2006/main" count="76" uniqueCount="62">
  <si>
    <t>মেসার্স মা মোটরস (M/S. MAA MOTORS)</t>
  </si>
  <si>
    <t>২/১১/২০২৫ হইতে গোডাউন এর মোট মাল বিক্রয় হিসাব</t>
  </si>
  <si>
    <t>নথি নং: 00001</t>
  </si>
  <si>
    <t>দায়িত্বপ্রাপ্ত: ১ম তম; মোঃ এমরান (আই ডি-১৯২৫)</t>
  </si>
  <si>
    <t>হিসাব বিভাগ: প্রধান গোডাউন মাল বিক্রয় রেজিস্টার</t>
  </si>
  <si>
    <t>ক্রমিক নং</t>
  </si>
  <si>
    <t>মেমো বই নং</t>
  </si>
  <si>
    <t>তারিখ (সময়কাল)</t>
  </si>
  <si>
    <t>মোট বিক্রয় (৳)</t>
  </si>
  <si>
    <t>লেস (৳)</t>
  </si>
  <si>
    <t>প্রকৃত নিট বিক্রয় (৳)</t>
  </si>
  <si>
    <t>ক্রমপুঞ্জিত বিক্রয় (৳)</t>
  </si>
  <si>
    <t>সাক্ষর ও সিল</t>
  </si>
  <si>
    <t>১</t>
  </si>
  <si>
    <t>১৯০১-১৯৮৮</t>
  </si>
  <si>
    <t>২/১১/২০২৫ হইতে ২৬/১১/২০২৫</t>
  </si>
  <si>
    <t xml:space="preserve">মেসার্স মা মোটরস
মোঃ এমরান (আই ডি-১৯২৫)
তারিখ: ২৬/১১/২০২৫</t>
  </si>
  <si>
    <t>২</t>
  </si>
  <si>
    <t>২০০১-২১০০</t>
  </si>
  <si>
    <t>২৭/১১/২০২৫ হইতে ২২/১২/২০২৫</t>
  </si>
  <si>
    <t xml:space="preserve">মেসার্স মা মোটরস
মোঃ এমরান (আই ডি-১৯২৫)
তারিখ: ২২/১২/২০২৫</t>
  </si>
  <si>
    <t>৩</t>
  </si>
  <si>
    <t>২১০১-২২০০</t>
  </si>
  <si>
    <t>২২/১২/২০২৫ হইতে ২১/১/২০২৬</t>
  </si>
  <si>
    <t xml:space="preserve">মেসার্স মা মোটরস
মোঃ এমরান (আই ডি-১৯২৫)
তারিখ: ২১/১/২০২৬</t>
  </si>
  <si>
    <t>৪</t>
  </si>
  <si>
    <t>২২০১-২২৯৫</t>
  </si>
  <si>
    <t>২১/০১/২৬ হইতে ২৪/০২/২৬</t>
  </si>
  <si>
    <t xml:space="preserve">মেসার্স মা মোটরস
মোঃ এমরান (আই ডি-১৯২৫)
তারিখ: ২৪/০২/২০২৬</t>
  </si>
  <si>
    <t>৫</t>
  </si>
  <si>
    <t>২৩০১-২৪০০</t>
  </si>
  <si>
    <t>২৫/০২/২৬ হইতে ৩১/০৩/২৬</t>
  </si>
  <si>
    <t xml:space="preserve">মেসার্স মা মোটরস
মোঃ এমরান (আই ডি-১৯২৫)
তারিখ: ৩১/০৩/২০২৬</t>
  </si>
  <si>
    <t>৬</t>
  </si>
  <si>
    <t>২৪০১-২৫০০</t>
  </si>
  <si>
    <t>৩১/০৩/২৬ হইতে ০৬/০৫/২৬</t>
  </si>
  <si>
    <t xml:space="preserve">মেসার্স মা মোটরস
মোঃ এমরান (আই ডি-১৯২৫)
তারিখ: ০৬/০৫/২০২৬</t>
  </si>
  <si>
    <t>৭</t>
  </si>
  <si>
    <t>২৫০১-২৫৭৯</t>
  </si>
  <si>
    <t>০৬/০৫/২৬ হইতে ২৯/০৬/২৬</t>
  </si>
  <si>
    <t xml:space="preserve">মেসার্স মা মোটরস
মোঃ এমরান (আই ডি-১৯২৫)
তারিখ: ২৯/০৬/২০২৬</t>
  </si>
  <si>
    <t>৮</t>
  </si>
  <si>
    <t>০১-১০০</t>
  </si>
  <si>
    <t>০১-০৭-২৬ হইতে ২১-০৮-২৬</t>
  </si>
  <si>
    <t xml:space="preserve">মেসার্স মা মোটরস
মোঃ এমরান (আই ডি-১৯২৫)
তারিখ: ২১/০৮/২০২৬</t>
  </si>
  <si>
    <t>৯</t>
  </si>
  <si>
    <t>১০১-২০০</t>
  </si>
  <si>
    <t>২১/০৮/২৬ হইতে ০৭/১০/২৬</t>
  </si>
  <si>
    <t xml:space="preserve">মেসার্স মা মোটরস
মোঃ এমরান (আই ডি-১৯২৫)
তারিখ: ০৭/১০/২০২৬</t>
  </si>
  <si>
    <t>(10)</t>
  </si>
  <si>
    <t/>
  </si>
  <si>
    <t>[ সিল ও সাক্ষর ]</t>
  </si>
  <si>
    <t>(11)</t>
  </si>
  <si>
    <t>(12)</t>
  </si>
  <si>
    <t>(13)</t>
  </si>
  <si>
    <t>(14)</t>
  </si>
  <si>
    <t>সর্বমোট বিক্রয় হিসাব (GRAND TOTAL):</t>
  </si>
  <si>
    <t>সম্পূর্ণ নিরীক্ষিত ও সঠিক</t>
  </si>
  <si>
    <t>কথায়: ছাব্বিশ কোটি একাশি লাখ চৌষট্টি হাজার ছয়শত বাহাত্তর টাকা মাত্র (Twenty-Six Crore Eighty-One Lakh Sixty-Four Thousand Seven Hundred Seventy-Two Taka Only)</t>
  </si>
  <si>
    <t>--------------------------------------------------</t>
  </si>
  <si>
    <t xml:space="preserve">১ম তম; মোঃ এমরান (আই ডি-১৯২৫)
গোডাউন ইনচার্জ ও হিসাব প্রস্তুতকারী</t>
  </si>
  <si>
    <t xml:space="preserve">স্বত্বাধিকারীর স্বাক্ষর ও সিল (বস)
মেসার্স মা মোটরস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</si>
</sst>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"/>
      <sz val="16"/>
      <name val="Hind Siliguri"/>
    </font>
    <font>
      <b/>
      <color rgb="0F172A"/>
      <sz val="13"/>
      <name val="Hind Siliguri"/>
    </font>
    <font>
      <b/>
      <color rgb="B91C1C"/>
      <sz val="10"/>
      <name val="Hind Siliguri"/>
    </font>
    <font>
      <b/>
      <color rgb="0F172A"/>
      <sz val="10"/>
      <name val="Hind Siliguri"/>
    </font>
    <font>
      <b/>
      <color rgb="1E3A8A"/>
      <sz val="10"/>
      <name val="Hind Siliguri"/>
    </font>
    <font>
      <b/>
      <color rgb="FFFFFF"/>
      <sz val="10.5"/>
      <name val="Hind Siliguri"/>
    </font>
    <font>
      <b/>
      <sz val="10"/>
      <name val="Hind Siliguri"/>
    </font>
    <font>
      <color rgb="475569"/>
      <sz val="9.5"/>
      <name val="Hind Siliguri"/>
    </font>
    <font>
      <b/>
      <color rgb="0F172A"/>
      <sz val="10.5"/>
      <name val="Hind Siliguri"/>
    </font>
    <font>
      <b/>
      <color rgb="047857"/>
      <sz val="10.5"/>
      <name val="Hind Siliguri"/>
    </font>
    <font>
      <b/>
      <color rgb="1E3A8A"/>
      <sz val="10.5"/>
      <name val="Hind Siliguri"/>
    </font>
    <font>
      <b/>
      <color rgb="1E40AF"/>
      <sz val="8.5"/>
      <name val="Hind Siliguri"/>
    </font>
    <font>
      <color rgb="94A3B8"/>
      <sz val="9.5"/>
      <name val="Hind Siliguri"/>
    </font>
    <font>
      <i/>
      <color rgb="94A3B8"/>
      <sz val="8.5"/>
      <name val="Hind Siliguri"/>
    </font>
    <font>
      <b/>
      <color rgb="065F46"/>
      <sz val="11"/>
      <name val="Hind Siliguri"/>
    </font>
    <font>
      <b/>
      <color rgb="065F46"/>
      <sz val="11.5"/>
      <name val="Hind Siliguri"/>
    </font>
    <font>
      <b/>
      <color rgb="B91C1C"/>
      <sz val="11"/>
      <name val="Hind Siliguri"/>
    </font>
    <font>
      <b/>
      <color rgb="065F46"/>
      <sz val="12.5"/>
      <name val="Hind Siliguri"/>
    </font>
    <font>
      <b/>
      <color rgb="1E3A8A"/>
      <sz val="12"/>
      <name val="Hind Siliguri"/>
    </font>
    <font>
      <b/>
      <color rgb="065F46"/>
      <sz val="9.5"/>
      <name val="Hind Siliguri"/>
    </font>
    <font>
      <color rgb="475569"/>
      <sz val="9"/>
      <name val="Hind Siliguri"/>
    </font>
  </fonts>
  <fills count="10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FEF2F2"/>
      </patternFill>
    </fill>
    <fill>
      <patternFill patternType="solid">
        <fgColor rgb="F8FAFC"/>
      </patternFill>
    </fill>
    <fill>
      <patternFill patternType="solid">
        <fgColor rgb="EEF2FF"/>
      </patternFill>
    </fill>
    <fill>
      <patternFill patternType="solid">
        <fgColor rgb="334155"/>
      </patternFill>
    </fill>
    <fill>
      <patternFill patternType="solid">
        <fgColor rgb="F0F7FF"/>
      </patternFill>
    </fill>
    <fill>
      <patternFill patternType="solid">
        <fgColor rgb="DCFCE7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hair">
        <color rgb="CBD5E1"/>
      </top>
      <bottom style="hair">
        <color rgb="CBD5E1"/>
      </bottom>
      <diagonal/>
    </border>
    <border>
      <left style="medium">
        <color rgb="059669"/>
      </left>
      <right style="medium">
        <color rgb="059669"/>
      </right>
      <top style="medium">
        <color rgb="059669"/>
      </top>
      <bottom style="double">
        <color rgb="05966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5" fillId="9" borderId="3" xfId="0" applyFont="1" applyFill="1" applyBorder="1" applyAlignment="1">
      <alignment horizontal="right" vertical="center"/>
    </xf>
    <xf numFmtId="3" fontId="16" fillId="9" borderId="3" xfId="0" applyNumberFormat="1" applyFont="1" applyFill="1" applyBorder="1" applyAlignment="1">
      <alignment horizontal="right" vertical="center"/>
    </xf>
    <xf numFmtId="3" fontId="17" fillId="9" borderId="3" xfId="0" applyNumberFormat="1" applyFont="1" applyFill="1" applyBorder="1" applyAlignment="1">
      <alignment horizontal="right" vertical="center"/>
    </xf>
    <xf numFmtId="3" fontId="18" fillId="9" borderId="3" xfId="0" applyNumberFormat="1" applyFont="1" applyFill="1" applyBorder="1" applyAlignment="1">
      <alignment horizontal="right" vertical="center"/>
    </xf>
    <xf numFmtId="3" fontId="19" fillId="9" borderId="3" xfId="0" applyNumberFormat="1" applyFont="1" applyFill="1" applyBorder="1" applyAlignment="1">
      <alignment horizontal="right" vertical="center"/>
    </xf>
    <xf numFmtId="0" fontId="20" fillId="9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20" customWidth="1"/>
    <col min="5" max="5" width="14" customWidth="1"/>
    <col min="6" max="6" width="20" customWidth="1"/>
    <col min="7" max="7" width="22" customWidth="1"/>
    <col min="8" max="8" width="28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/>
      <c r="C3" s="4" t="s">
        <v>3</v>
      </c>
      <c r="D3" s="4"/>
      <c r="E3" s="4"/>
      <c r="F3" s="5" t="s">
        <v>4</v>
      </c>
      <c r="G3" s="5"/>
      <c r="H3" s="5"/>
    </row>
    <row r="4" ht="28" customHeight="1" spans="1:8" x14ac:dyDescent="0.25">
      <c r="A4" s="6" t="s">
        <v>5</v>
      </c>
      <c r="B4" s="6" t="s">
        <v>6</v>
      </c>
      <c r="C4" s="6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6" t="s">
        <v>12</v>
      </c>
    </row>
    <row r="5" ht="36" customHeight="1" spans="1:8" x14ac:dyDescent="0.25">
      <c r="A5" s="8" t="s">
        <v>13</v>
      </c>
      <c r="B5" s="9" t="s">
        <v>14</v>
      </c>
      <c r="C5" s="10" t="s">
        <v>15</v>
      </c>
      <c r="D5" s="11">
        <v>27041960</v>
      </c>
      <c r="E5" s="12">
        <v>3150</v>
      </c>
      <c r="F5" s="13">
        <f>D5-E5</f>
        <v>27038810</v>
      </c>
      <c r="G5" s="14">
        <f>F5</f>
      </c>
      <c r="H5" s="15" t="s">
        <v>16</v>
      </c>
    </row>
    <row r="6" ht="36" customHeight="1" spans="1:8" x14ac:dyDescent="0.25">
      <c r="A6" s="8" t="s">
        <v>17</v>
      </c>
      <c r="B6" s="9" t="s">
        <v>18</v>
      </c>
      <c r="C6" s="10" t="s">
        <v>19</v>
      </c>
      <c r="D6" s="11">
        <v>45758220</v>
      </c>
      <c r="E6" s="12">
        <v>4800</v>
      </c>
      <c r="F6" s="13">
        <f>D6-E6</f>
        <v>45753420</v>
      </c>
      <c r="G6" s="14">
        <f>G5+F6</f>
      </c>
      <c r="H6" s="15" t="s">
        <v>20</v>
      </c>
    </row>
    <row r="7" ht="36" customHeight="1" spans="1:8" x14ac:dyDescent="0.25">
      <c r="A7" s="8" t="s">
        <v>21</v>
      </c>
      <c r="B7" s="9" t="s">
        <v>22</v>
      </c>
      <c r="C7" s="10" t="s">
        <v>23</v>
      </c>
      <c r="D7" s="11">
        <v>35427050</v>
      </c>
      <c r="E7" s="12">
        <v>10700</v>
      </c>
      <c r="F7" s="13">
        <f>D7-E7</f>
        <v>35416350</v>
      </c>
      <c r="G7" s="14">
        <f>G6+F7</f>
      </c>
      <c r="H7" s="15" t="s">
        <v>24</v>
      </c>
    </row>
    <row r="8" ht="36" customHeight="1" spans="1:8" x14ac:dyDescent="0.25">
      <c r="A8" s="8" t="s">
        <v>25</v>
      </c>
      <c r="B8" s="9" t="s">
        <v>26</v>
      </c>
      <c r="C8" s="10" t="s">
        <v>27</v>
      </c>
      <c r="D8" s="11">
        <v>18553950</v>
      </c>
      <c r="E8" s="12">
        <v>15650</v>
      </c>
      <c r="F8" s="13">
        <f>D8-E8</f>
        <v>18538300</v>
      </c>
      <c r="G8" s="14">
        <f>G7+F8</f>
      </c>
      <c r="H8" s="15" t="s">
        <v>28</v>
      </c>
    </row>
    <row r="9" ht="36" customHeight="1" spans="1:8" x14ac:dyDescent="0.25">
      <c r="A9" s="8" t="s">
        <v>29</v>
      </c>
      <c r="B9" s="9" t="s">
        <v>30</v>
      </c>
      <c r="C9" s="10" t="s">
        <v>31</v>
      </c>
      <c r="D9" s="11">
        <v>36340200</v>
      </c>
      <c r="E9" s="12">
        <v>24100</v>
      </c>
      <c r="F9" s="13">
        <f>D9-E9</f>
        <v>36316100</v>
      </c>
      <c r="G9" s="14">
        <f>G8+F9</f>
      </c>
      <c r="H9" s="15" t="s">
        <v>32</v>
      </c>
    </row>
    <row r="10" ht="36" customHeight="1" spans="1:8" x14ac:dyDescent="0.25">
      <c r="A10" s="8" t="s">
        <v>33</v>
      </c>
      <c r="B10" s="9" t="s">
        <v>34</v>
      </c>
      <c r="C10" s="10" t="s">
        <v>35</v>
      </c>
      <c r="D10" s="11">
        <v>15370415</v>
      </c>
      <c r="E10" s="12">
        <v>40650</v>
      </c>
      <c r="F10" s="13">
        <f>D10-E10</f>
        <v>15329765</v>
      </c>
      <c r="G10" s="14">
        <f>G9+F10</f>
      </c>
      <c r="H10" s="15" t="s">
        <v>36</v>
      </c>
    </row>
    <row r="11" ht="36" customHeight="1" spans="1:8" x14ac:dyDescent="0.25">
      <c r="A11" s="8" t="s">
        <v>37</v>
      </c>
      <c r="B11" s="9" t="s">
        <v>38</v>
      </c>
      <c r="C11" s="10" t="s">
        <v>39</v>
      </c>
      <c r="D11" s="11">
        <v>18724750</v>
      </c>
      <c r="E11" s="12">
        <v>3350</v>
      </c>
      <c r="F11" s="13">
        <f>D11-E11</f>
        <v>18721400</v>
      </c>
      <c r="G11" s="14">
        <f>G10+F11</f>
      </c>
      <c r="H11" s="15" t="s">
        <v>40</v>
      </c>
    </row>
    <row r="12" ht="36" customHeight="1" spans="1:8" x14ac:dyDescent="0.25">
      <c r="A12" s="8" t="s">
        <v>41</v>
      </c>
      <c r="B12" s="9" t="s">
        <v>42</v>
      </c>
      <c r="C12" s="10" t="s">
        <v>43</v>
      </c>
      <c r="D12" s="11">
        <v>21812030</v>
      </c>
      <c r="E12" s="12">
        <v>12500</v>
      </c>
      <c r="F12" s="13">
        <f>D12-E12</f>
        <v>21799530</v>
      </c>
      <c r="G12" s="14">
        <f>G11+F12</f>
      </c>
      <c r="H12" s="15" t="s">
        <v>44</v>
      </c>
    </row>
    <row r="13" ht="36" customHeight="1" spans="1:8" x14ac:dyDescent="0.25">
      <c r="A13" s="8" t="s">
        <v>45</v>
      </c>
      <c r="B13" s="9" t="s">
        <v>46</v>
      </c>
      <c r="C13" s="10" t="s">
        <v>47</v>
      </c>
      <c r="D13" s="11">
        <v>49327497</v>
      </c>
      <c r="E13" s="12">
        <v>76500</v>
      </c>
      <c r="F13" s="13">
        <f>D13-E13</f>
        <v>49250997</v>
      </c>
      <c r="G13" s="14">
        <f>G12+F13</f>
      </c>
      <c r="H13" s="15" t="s">
        <v>48</v>
      </c>
    </row>
    <row r="14" ht="36" customHeight="1" spans="1:8" x14ac:dyDescent="0.25">
      <c r="A14" s="16" t="s">
        <v>49</v>
      </c>
      <c r="B14" s="17" t="s">
        <v>50</v>
      </c>
      <c r="C14" s="17" t="s">
        <v>50</v>
      </c>
      <c r="D14" s="18"/>
      <c r="E14" s="19"/>
      <c r="F14" s="20">
        <f>IF(D14="","",D14-E14)</f>
      </c>
      <c r="G14" s="21">
        <f>IF(F14="","",G13+F14)</f>
      </c>
      <c r="H14" s="22" t="s">
        <v>51</v>
      </c>
    </row>
    <row r="15" ht="36" customHeight="1" spans="1:8" x14ac:dyDescent="0.25">
      <c r="A15" s="16" t="s">
        <v>52</v>
      </c>
      <c r="B15" s="17" t="s">
        <v>50</v>
      </c>
      <c r="C15" s="17" t="s">
        <v>50</v>
      </c>
      <c r="D15" s="18"/>
      <c r="E15" s="19"/>
      <c r="F15" s="20">
        <f>IF(D15="","",D15-E15)</f>
      </c>
      <c r="G15" s="21">
        <f>IF(F15="","",G14+F15)</f>
      </c>
      <c r="H15" s="22" t="s">
        <v>51</v>
      </c>
    </row>
    <row r="16" ht="36" customHeight="1" spans="1:8" x14ac:dyDescent="0.25">
      <c r="A16" s="16" t="s">
        <v>53</v>
      </c>
      <c r="B16" s="17" t="s">
        <v>50</v>
      </c>
      <c r="C16" s="17" t="s">
        <v>50</v>
      </c>
      <c r="D16" s="18"/>
      <c r="E16" s="19"/>
      <c r="F16" s="20">
        <f>IF(D16="","",D16-E16)</f>
      </c>
      <c r="G16" s="21">
        <f>IF(F16="","",G15+F16)</f>
      </c>
      <c r="H16" s="22" t="s">
        <v>51</v>
      </c>
    </row>
    <row r="17" ht="36" customHeight="1" spans="1:8" x14ac:dyDescent="0.25">
      <c r="A17" s="16" t="s">
        <v>54</v>
      </c>
      <c r="B17" s="17" t="s">
        <v>50</v>
      </c>
      <c r="C17" s="17" t="s">
        <v>50</v>
      </c>
      <c r="D17" s="18"/>
      <c r="E17" s="19"/>
      <c r="F17" s="20">
        <f>IF(D17="","",D17-E17)</f>
      </c>
      <c r="G17" s="21">
        <f>IF(F17="","",G16+F17)</f>
      </c>
      <c r="H17" s="22" t="s">
        <v>51</v>
      </c>
    </row>
    <row r="18" ht="36" customHeight="1" spans="1:8" x14ac:dyDescent="0.25">
      <c r="A18" s="16" t="s">
        <v>55</v>
      </c>
      <c r="B18" s="17" t="s">
        <v>50</v>
      </c>
      <c r="C18" s="17" t="s">
        <v>50</v>
      </c>
      <c r="D18" s="18"/>
      <c r="E18" s="19"/>
      <c r="F18" s="20">
        <f>IF(D18="","",D18-E18)</f>
      </c>
      <c r="G18" s="21">
        <f>IF(F18="","",G17+F18)</f>
      </c>
      <c r="H18" s="22" t="s">
        <v>51</v>
      </c>
    </row>
    <row r="19" ht="32" customHeight="1" spans="1:8" x14ac:dyDescent="0.25">
      <c r="A19" s="23" t="s">
        <v>56</v>
      </c>
      <c r="B19" s="23"/>
      <c r="C19" s="23"/>
      <c r="D19" s="24">
        <f>SUM(D5:D18)</f>
        <v>268356072</v>
      </c>
      <c r="E19" s="25">
        <f>SUM(E5:E18)</f>
        <v>191400</v>
      </c>
      <c r="F19" s="26">
        <f>SUM(F5:F18)</f>
        <v>268164672</v>
      </c>
      <c r="G19" s="27">
        <f>F19</f>
        <v>268164672</v>
      </c>
      <c r="H19" s="28" t="s">
        <v>57</v>
      </c>
    </row>
    <row r="20" ht="26" customHeight="1" spans="1:8" x14ac:dyDescent="0.25">
      <c r="A20" s="29" t="s">
        <v>58</v>
      </c>
      <c r="B20" s="29"/>
      <c r="C20" s="29"/>
      <c r="D20" s="29"/>
      <c r="E20" s="29"/>
      <c r="F20" s="29"/>
      <c r="G20" s="29"/>
      <c r="H20" s="29"/>
    </row>
    <row r="22" spans="2:7" x14ac:dyDescent="0.25">
      <c r="B22" s="30" t="s">
        <v>59</v>
      </c>
      <c r="G22" s="30" t="s">
        <v>59</v>
      </c>
    </row>
    <row r="23" ht="32" customHeight="1" spans="2:7" x14ac:dyDescent="0.25">
      <c r="B23" s="31" t="s">
        <v>60</v>
      </c>
      <c r="G23" s="31" t="s">
        <v>61</v>
      </c>
    </row>
  </sheetData>
  <mergeCells count="7">
    <mergeCell ref="A1:H1"/>
    <mergeCell ref="A2:H2"/>
    <mergeCell ref="A3:B3"/>
    <mergeCell ref="C3:E3"/>
    <mergeCell ref="F3:H3"/>
    <mergeCell ref="A19:C19"/>
    <mergeCell ref="A20:H20"/>
  </mergeCells>
  <pageMargins left="0.4" right="0.4" top="0.4" bottom="0.4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গোডাউন মাল বিক্রয় রেজিস্টার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MOTORS ERP</dc:creator>
  <dc:title/>
  <dc:subject/>
  <dc:description/>
  <cp:keywords/>
  <cp:category/>
  <cp:lastModifiedBy>Unknown</cp:lastModifiedBy>
  <dcterms:created xsi:type="dcterms:W3CDTF">2026-10-13T13:10:36Z</dcterms:created>
  <dcterms:modified xsi:type="dcterms:W3CDTF">2026-10-13T13:10:36Z</dcterms:modified>
</cp:coreProperties>
</file>