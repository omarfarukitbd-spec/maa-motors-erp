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মাসিক খরচ ও বেতন বিবরণী" state="visible" r:id="rId4"/>
  </sheets>
  <calcPr calcId="171027"/>
</workbook>
</file>

<file path=xl/sharedStrings.xml><?xml version="1.0" encoding="utf-8"?>
<sst xmlns="http://schemas.openxmlformats.org/spreadsheetml/2006/main" count="146" uniqueCount="125">
  <si>
    <t>মেসার্স মা মোটরস (M/S. MAA MOTORS)</t>
  </si>
  <si>
    <t>মাসিক সামগ্রিক ব্যয় ও বেতন বিবরণী (বাণিজ্যিক ও অপারেশনাল লেয়ার — ১ম পাতা)</t>
  </si>
  <si>
    <t>হিসাব মাস / অর্থবছর: ........................................</t>
  </si>
  <si>
    <t>প্রিন্ট / প্রস্তুতের তারিখ: ........................................</t>
  </si>
  <si>
    <t>ক্রম</t>
  </si>
  <si>
    <t>ব্যয়ের খাত / কর্মীর নাম</t>
  </si>
  <si>
    <t>বিবরণ / সূত্র / মন্তব্য</t>
  </si>
  <si>
    <t>পরিমাণ (টাকা)</t>
  </si>
  <si>
    <t>১. ডুবাই কর্মী বেতন ও বৈদেশিক খরচ (Dubai Operations)</t>
  </si>
  <si>
    <t>১.১</t>
  </si>
  <si>
    <t>হৃদয় (বেতন)</t>
  </si>
  <si>
    <t>৩০,০০০ টাকা – ১০,০০০ (কর্তন)</t>
  </si>
  <si>
    <t>১.২</t>
  </si>
  <si>
    <t>ফারুক (বেতন)</t>
  </si>
  <si>
    <t>মাসিক নির্ধারিত বেতন</t>
  </si>
  <si>
    <t>১.৩</t>
  </si>
  <si>
    <t>ফারুক ও হৃদয় রুম ভাড়া</t>
  </si>
  <si>
    <t>UED= 800</t>
  </si>
  <si>
    <t>১.৪</t>
  </si>
  <si>
    <t>কন্টেনার লোডিং নং: ২</t>
  </si>
  <si>
    <t>UED = 4000</t>
  </si>
  <si>
    <t>১.৫</t>
  </si>
  <si>
    <t/>
  </si>
  <si>
    <t>(খালি ঘর — নতুন এন্ট্রি বা খরচের জন্য)</t>
  </si>
  <si>
    <t>উপ-মোট (Sub-Total): ১. ডুবাই কর্মী বেতন ও বৈদেশিক খরচ</t>
  </si>
  <si>
    <t>২. রহমান টাওয়ার দোকান কর্মী বেতন ও অন্যান্য খরচ (Shop Expenses)</t>
  </si>
  <si>
    <t>২.১</t>
  </si>
  <si>
    <t>মেরাজ</t>
  </si>
  <si>
    <t>দোকান কর্মী বেতন</t>
  </si>
  <si>
    <t>২.২</t>
  </si>
  <si>
    <t>আরাফাত</t>
  </si>
  <si>
    <t>২.৩</t>
  </si>
  <si>
    <t>আইয়ুব হুযুর</t>
  </si>
  <si>
    <t>হাদিয়া / ধর্মীয় অনুদান</t>
  </si>
  <si>
    <t>২.৪</t>
  </si>
  <si>
    <t>দোকান ও গোডাউন ভাড়া</t>
  </si>
  <si>
    <t>রহমান টাওয়ার দোকান ভাড়া</t>
  </si>
  <si>
    <t>২.৫</t>
  </si>
  <si>
    <t>উপ-মোট (Sub-Total): ২. রহমান টাওয়ার দোকান কর্মী বেতন ও অন্যান্য খরচ</t>
  </si>
  <si>
    <t>৩. গোডাউন কর্মী বেতন ও গোডাউন ভাড়া (Godown Expenses)</t>
  </si>
  <si>
    <t>৩.১</t>
  </si>
  <si>
    <t>রুবায়েত</t>
  </si>
  <si>
    <t>গোডাউন কর্মী বেতন</t>
  </si>
  <si>
    <t>৩.২</t>
  </si>
  <si>
    <t>ফারুক</t>
  </si>
  <si>
    <t>৩.৩</t>
  </si>
  <si>
    <t>সামির</t>
  </si>
  <si>
    <t>৩.৪</t>
  </si>
  <si>
    <t>নুরনবী</t>
  </si>
  <si>
    <t>৩.৫</t>
  </si>
  <si>
    <t>গোডাউন ভাড়া</t>
  </si>
  <si>
    <t>প্রধান গোডাউন মাসিক ভাড়া</t>
  </si>
  <si>
    <t>৩.৬</t>
  </si>
  <si>
    <t>উপ-মোট (Sub-Total): ৩. গোডাউন কর্মী বেতন ও গোডাউন ভাড়া</t>
  </si>
  <si>
    <t>১ম পাতার সম্মিলিত মোট ব্যয় (Page 1 Sub-Total: বাণিজ্যিক ও অপারেশনাল):</t>
  </si>
  <si>
    <t>* বিঃদ্রঃ ১ম পাতায় বাণিজ্যিক ও অপারেশনাল ব্যয় (লেয়ার ১, ২ ও ৩) সমাপ্ত। পরবর্তী পাতায় পারিবারিক ও অন্যান্য ব্যয় রয়েছে।</t>
  </si>
  <si>
    <t>মেসার্স মা মোটরস — মাসিক খরচ বিবরণী (বাসা, ব্যক্তিগত ও অন্যান্য লেয়ার — ২য় পাতা)</t>
  </si>
  <si>
    <t>পূ্র্ববর্তী পাতা (১ম পাতা) হতে আনীত মোট (বাণিজ্যিক অপারেশন):</t>
  </si>
  <si>
    <t>৪. বাসার (নিজ বাড়ির খরচ) (House / Residence Expenses)</t>
  </si>
  <si>
    <t>৪.১</t>
  </si>
  <si>
    <t>কাশেম দাড়োয়ান</t>
  </si>
  <si>
    <t>বাসার দারোয়ান বেতন</t>
  </si>
  <si>
    <t>৪.২</t>
  </si>
  <si>
    <t>নাজমা</t>
  </si>
  <si>
    <t>গৃহকর্মী বেতন</t>
  </si>
  <si>
    <t>৪.৩</t>
  </si>
  <si>
    <t>ইফরাত স্যার</t>
  </si>
  <si>
    <t>গৃহশিক্ষক বেতন</t>
  </si>
  <si>
    <t>৪.৪</t>
  </si>
  <si>
    <t>ইশরাক স্যার</t>
  </si>
  <si>
    <t>৪.৫</t>
  </si>
  <si>
    <t>ইশরাক কলেজ</t>
  </si>
  <si>
    <t>কলেজ ফি ও পড়াশোনা খরচ</t>
  </si>
  <si>
    <t>৪.৬</t>
  </si>
  <si>
    <t>ইফরাত স্কুল</t>
  </si>
  <si>
    <t>স্কুল ফি ও পড়াশোনা খরচ</t>
  </si>
  <si>
    <t>৪.৭</t>
  </si>
  <si>
    <t>গ্যাস বিল</t>
  </si>
  <si>
    <t>বাসার গ্যাস বিল</t>
  </si>
  <si>
    <t>৪.৮</t>
  </si>
  <si>
    <t>বিদ্যুৎ বিল</t>
  </si>
  <si>
    <t>বাসার বিদ্যুৎ বিল</t>
  </si>
  <si>
    <t>৪.৯</t>
  </si>
  <si>
    <t>ওয়াসা বিল</t>
  </si>
  <si>
    <t>বাসার পানির বিল</t>
  </si>
  <si>
    <t>৪.১০</t>
  </si>
  <si>
    <t>লিফট সার্ভিস</t>
  </si>
  <si>
    <t>মাসিক লিফট রক্ষণাবেক্ষণ চার্জ</t>
  </si>
  <si>
    <t>৪.১১</t>
  </si>
  <si>
    <t>উপ-মোট (Sub-Total): ৪  নিজ বাসার মোট খরচ</t>
  </si>
  <si>
    <t>৫. নতুন বাড়ির খরচ (New House Expenses)</t>
  </si>
  <si>
    <t>৫.১</t>
  </si>
  <si>
    <t>টুনি</t>
  </si>
  <si>
    <t>গৃহকর্মী / সহকারী বেতন</t>
  </si>
  <si>
    <t>৫.২</t>
  </si>
  <si>
    <t>ওয়াসা বিল (নতুন বাড়ি)</t>
  </si>
  <si>
    <t>নতুন বাড়ির পানির বিল</t>
  </si>
  <si>
    <t>৫.৩</t>
  </si>
  <si>
    <t>বিদ্যুৎ বিল (নতুন বাড়ি)</t>
  </si>
  <si>
    <t>নতুন বাড়ির বিদ্যুৎ বিল</t>
  </si>
  <si>
    <t>৫.৪</t>
  </si>
  <si>
    <t>গ্যাস বিল (নতুন বাড়ি)</t>
  </si>
  <si>
    <t>নতুন বাড়ির গ্যাস বিল</t>
  </si>
  <si>
    <t>৫.৫</t>
  </si>
  <si>
    <t>উপ-মোট (Sub-Total): ৫ নতুন বাড়ির খরচ</t>
  </si>
  <si>
    <t>৬. অন্যান্য খরচ (Other Expenses)</t>
  </si>
  <si>
    <t>৬.১</t>
  </si>
  <si>
    <t>ইকবালের মা</t>
  </si>
  <si>
    <t>পারিবারিক অনুদান / সাহায্য</t>
  </si>
  <si>
    <t>৬.২</t>
  </si>
  <si>
    <t>রুপার মা</t>
  </si>
  <si>
    <t>৬.৩</t>
  </si>
  <si>
    <t>মেরাজের মা (লভ্যাংশ)</t>
  </si>
  <si>
    <t>ব্যবসায়িক লভ্যাংশ প্রদান</t>
  </si>
  <si>
    <t>৬.৪</t>
  </si>
  <si>
    <t>আইয়ুব সওদাগর নতুন গোডাউন ভাড়া</t>
  </si>
  <si>
    <t>নতুন গোডাউন মাসিক ভাড়া</t>
  </si>
  <si>
    <t>৬.৫</t>
  </si>
  <si>
    <t>উপ-মোট (Sub-Total): ৬  অন্যান্য খরচ</t>
  </si>
  <si>
    <t>২য় পাতার সম্মিলিত মোট ব্যয় (Page 2 Sub-Total: বাড়ি ও অন্যান্য):</t>
  </si>
  <si>
    <t>সর্বমোট ব্যয় (GRAND TOTAL: ১ম পাতা ৩,৪৯,৭০০ + ২য় পাতা ১,৩৫,০০০):</t>
  </si>
  <si>
    <t>কথায়: চার লাখ চুরাশি হাজার সাতশত টাকা মাত্র (Four Lakh Eighty-Four Thousand Seven Hundred Taka Only)</t>
  </si>
  <si>
    <t>--------------------------------------------------</t>
  </si>
  <si>
    <t>প্রস্তুতকারীর স্বাক্ষর ও তারিখ</t>
  </si>
  <si>
    <t>স্বত্বাধিকারীর স্বাক্ষর (বস)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</si>
</sst>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FFFF"/>
      <sz val="16"/>
      <name val="Hind Siliguri"/>
    </font>
    <font>
      <b/>
      <color rgb="0F172A"/>
      <sz val="11"/>
      <name val="Hind Siliguri"/>
    </font>
    <font>
      <color rgb="475569"/>
      <sz val="9.5"/>
      <name val="Hind Siliguri"/>
    </font>
    <font>
      <b/>
      <color rgb="FFFFFF"/>
      <sz val="10"/>
      <name val="Hind Siliguri"/>
    </font>
    <font>
      <b/>
      <color rgb="0F172A"/>
      <sz val="10.5"/>
      <name val="Hind Siliguri"/>
    </font>
    <font>
      <sz val="9.5"/>
      <name val="Hind Siliguri"/>
    </font>
    <font>
      <b/>
      <color rgb="0F172A"/>
      <sz val="10"/>
      <name val="Hind Siliguri"/>
    </font>
    <font>
      <color rgb="475569"/>
      <sz val="9"/>
      <name val="Hind Siliguri"/>
    </font>
    <font>
      <b/>
      <color rgb="B91C1C"/>
      <sz val="10"/>
      <name val="Hind Siliguri"/>
    </font>
    <font>
      <color rgb="0F172A"/>
      <sz val="10"/>
      <name val="Hind Siliguri"/>
    </font>
    <font>
      <i/>
      <color rgb="94A3B8"/>
      <sz val="9"/>
      <name val="Hind Siliguri"/>
    </font>
    <font>
      <b/>
      <color rgb="92400E"/>
      <sz val="10"/>
      <name val="Hind Siliguri"/>
    </font>
    <font>
      <b/>
      <color rgb="92400E"/>
      <sz val="10.5"/>
      <name val="Hind Siliguri"/>
    </font>
    <font>
      <b/>
      <color rgb="1E3A8A"/>
      <sz val="10.5"/>
      <name val="Hind Siliguri"/>
    </font>
    <font>
      <b/>
      <color rgb="1E3A8A"/>
      <sz val="11"/>
      <name val="Hind Siliguri"/>
    </font>
    <font>
      <i/>
      <color rgb="64748B"/>
      <sz val="9"/>
      <name val="Hind Siliguri"/>
    </font>
    <font>
      <b/>
      <color rgb="FFFFFF"/>
      <sz val="12"/>
      <name val="Hind Siliguri"/>
    </font>
    <font>
      <b/>
      <color rgb="1E3A8A"/>
      <sz val="9.5"/>
      <name val="Hind Siliguri"/>
    </font>
    <font>
      <b/>
      <color rgb="1E3A8A"/>
      <sz val="10"/>
      <name val="Hind Siliguri"/>
    </font>
    <font>
      <b/>
      <color rgb="065F46"/>
      <sz val="11"/>
      <name val="Hind Siliguri"/>
    </font>
    <font>
      <b/>
      <color rgb="065F46"/>
      <sz val="13"/>
      <name val="Hind Siliguri"/>
    </font>
  </fonts>
  <fills count="9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334155"/>
      </patternFill>
    </fill>
    <fill>
      <patternFill patternType="solid">
        <fgColor rgb="F1F5F9"/>
      </patternFill>
    </fill>
    <fill>
      <patternFill patternType="solid">
        <fgColor rgb="FEF3C7"/>
      </patternFill>
    </fill>
    <fill>
      <patternFill patternType="solid">
        <fgColor rgb="EEF2FF"/>
      </patternFill>
    </fill>
    <fill>
      <patternFill patternType="solid">
        <fgColor rgb="DCFCE7"/>
      </patternFill>
    </fill>
  </fills>
  <borders count="6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D97706"/>
      </top>
      <bottom style="thin">
        <color rgb="D97706"/>
      </bottom>
      <diagonal/>
    </border>
    <border>
      <left style="thin">
        <color rgb="CBD5E1"/>
      </left>
      <right style="thin">
        <color rgb="CBD5E1"/>
      </right>
      <top style="medium">
        <color rgb="3B82F6"/>
      </top>
      <bottom style="medium">
        <color rgb="3B82F6"/>
      </bottom>
      <diagonal/>
    </border>
    <border>
      <left style="thin">
        <color rgb="CBD5E1"/>
      </left>
      <right style="thin">
        <color rgb="CBD5E1"/>
      </right>
      <top style="thin">
        <color rgb="94A3B8"/>
      </top>
      <bottom style="thin">
        <color rgb="94A3B8"/>
      </bottom>
      <diagonal/>
    </border>
    <border>
      <left style="medium">
        <color rgb="059669"/>
      </left>
      <right style="medium">
        <color rgb="059669"/>
      </right>
      <top style="medium">
        <color rgb="059669"/>
      </top>
      <bottom style="double">
        <color rgb="05966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6" borderId="2" xfId="0" applyFont="1" applyFill="1" applyBorder="1" applyAlignment="1">
      <alignment horizontal="right" vertical="center"/>
    </xf>
    <xf numFmtId="3" fontId="13" fillId="6" borderId="2" xfId="0" applyNumberFormat="1" applyFont="1" applyFill="1" applyBorder="1" applyAlignment="1">
      <alignment horizontal="right" vertical="center"/>
    </xf>
    <xf numFmtId="0" fontId="14" fillId="7" borderId="3" xfId="0" applyFont="1" applyFill="1" applyBorder="1" applyAlignment="1">
      <alignment horizontal="right" vertical="center"/>
    </xf>
    <xf numFmtId="3" fontId="15" fillId="7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0" fontId="7" fillId="7" borderId="4" xfId="0" applyFont="1" applyFill="1" applyBorder="1" applyAlignment="1">
      <alignment horizontal="right" vertical="center"/>
    </xf>
    <xf numFmtId="3" fontId="5" fillId="7" borderId="4" xfId="0" applyNumberFormat="1" applyFont="1" applyFill="1" applyBorder="1" applyAlignment="1">
      <alignment horizontal="right" vertical="center"/>
    </xf>
    <xf numFmtId="0" fontId="20" fillId="8" borderId="5" xfId="0" applyFont="1" applyFill="1" applyBorder="1" applyAlignment="1">
      <alignment horizontal="right" vertical="center"/>
    </xf>
    <xf numFmtId="3" fontId="21" fillId="8" borderId="5" xfId="0" applyNumberFormat="1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6"/>
  <sheetViews>
    <sheetView workbookViewId="0"/>
  </sheetViews>
  <sheetFormatPr defaultRowHeight="15" outlineLevelRow="0" outlineLevelCol="0" x14ac:dyDescent="55"/>
  <cols>
    <col min="2" max="2" width="40" customWidth="1"/>
    <col min="3" max="3" width="34" customWidth="1"/>
    <col min="4" max="4" width="22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3" t="s">
        <v>2</v>
      </c>
      <c r="B3" s="3"/>
      <c r="C3" s="4" t="s">
        <v>3</v>
      </c>
      <c r="D3" s="4"/>
    </row>
    <row r="4" ht="26" customHeight="1" spans="1:4" x14ac:dyDescent="0.25">
      <c r="A4" s="5" t="s">
        <v>4</v>
      </c>
      <c r="B4" s="6" t="s">
        <v>5</v>
      </c>
      <c r="C4" s="6" t="s">
        <v>6</v>
      </c>
      <c r="D4" s="7" t="s">
        <v>7</v>
      </c>
    </row>
    <row r="5" ht="24" customHeight="1" spans="1:4" x14ac:dyDescent="0.25">
      <c r="A5" s="8" t="s">
        <v>8</v>
      </c>
      <c r="B5" s="8"/>
      <c r="C5" s="8"/>
      <c r="D5" s="8"/>
    </row>
    <row r="6" ht="22" customHeight="1" spans="1:4" x14ac:dyDescent="0.25">
      <c r="A6" s="9" t="s">
        <v>9</v>
      </c>
      <c r="B6" s="10" t="s">
        <v>10</v>
      </c>
      <c r="C6" s="11" t="s">
        <v>11</v>
      </c>
      <c r="D6" s="12">
        <v>20000</v>
      </c>
    </row>
    <row r="7" ht="22" customHeight="1" spans="1:4" x14ac:dyDescent="0.25">
      <c r="A7" s="9" t="s">
        <v>12</v>
      </c>
      <c r="B7" s="10" t="s">
        <v>13</v>
      </c>
      <c r="C7" s="11" t="s">
        <v>14</v>
      </c>
      <c r="D7" s="12">
        <v>25000</v>
      </c>
    </row>
    <row r="8" ht="22" customHeight="1" spans="1:4" x14ac:dyDescent="0.25">
      <c r="A8" s="9" t="s">
        <v>15</v>
      </c>
      <c r="B8" s="10" t="s">
        <v>16</v>
      </c>
      <c r="C8" s="11" t="s">
        <v>17</v>
      </c>
      <c r="D8" s="12">
        <v>28000</v>
      </c>
    </row>
    <row r="9" ht="22" customHeight="1" spans="1:4" x14ac:dyDescent="0.25">
      <c r="A9" s="9" t="s">
        <v>18</v>
      </c>
      <c r="B9" s="10" t="s">
        <v>19</v>
      </c>
      <c r="C9" s="11" t="s">
        <v>20</v>
      </c>
      <c r="D9" s="12">
        <v>140000</v>
      </c>
    </row>
    <row r="10" ht="22" customHeight="1" spans="1:4" x14ac:dyDescent="0.25">
      <c r="A10" s="9" t="s">
        <v>21</v>
      </c>
      <c r="B10" s="13" t="s">
        <v>22</v>
      </c>
      <c r="C10" s="14" t="s">
        <v>23</v>
      </c>
      <c r="D10" s="12"/>
    </row>
    <row r="11" ht="24" customHeight="1" spans="1:4" x14ac:dyDescent="0.25">
      <c r="A11" s="15" t="s">
        <v>24</v>
      </c>
      <c r="B11" s="15"/>
      <c r="C11" s="15"/>
      <c r="D11" s="16">
        <f>SUM(D6:D10)</f>
        <v>213000</v>
      </c>
    </row>
    <row r="12" ht="24" customHeight="1" spans="1:4" x14ac:dyDescent="0.25">
      <c r="A12" s="8" t="s">
        <v>25</v>
      </c>
      <c r="B12" s="8"/>
      <c r="C12" s="8"/>
      <c r="D12" s="8"/>
    </row>
    <row r="13" ht="22" customHeight="1" spans="1:4" x14ac:dyDescent="0.25">
      <c r="A13" s="9" t="s">
        <v>26</v>
      </c>
      <c r="B13" s="10" t="s">
        <v>27</v>
      </c>
      <c r="C13" s="11" t="s">
        <v>28</v>
      </c>
      <c r="D13" s="12">
        <v>10000</v>
      </c>
    </row>
    <row r="14" ht="22" customHeight="1" spans="1:4" x14ac:dyDescent="0.25">
      <c r="A14" s="9" t="s">
        <v>29</v>
      </c>
      <c r="B14" s="10" t="s">
        <v>30</v>
      </c>
      <c r="C14" s="11" t="s">
        <v>28</v>
      </c>
      <c r="D14" s="12">
        <v>8000</v>
      </c>
    </row>
    <row r="15" ht="22" customHeight="1" spans="1:4" x14ac:dyDescent="0.25">
      <c r="A15" s="9" t="s">
        <v>31</v>
      </c>
      <c r="B15" s="10" t="s">
        <v>32</v>
      </c>
      <c r="C15" s="11" t="s">
        <v>33</v>
      </c>
      <c r="D15" s="12">
        <v>1000</v>
      </c>
    </row>
    <row r="16" ht="22" customHeight="1" spans="1:4" x14ac:dyDescent="0.25">
      <c r="A16" s="9" t="s">
        <v>34</v>
      </c>
      <c r="B16" s="10" t="s">
        <v>35</v>
      </c>
      <c r="C16" s="11" t="s">
        <v>36</v>
      </c>
      <c r="D16" s="12">
        <v>7700</v>
      </c>
    </row>
    <row r="17" ht="22" customHeight="1" spans="1:4" x14ac:dyDescent="0.25">
      <c r="A17" s="9" t="s">
        <v>37</v>
      </c>
      <c r="B17" s="13" t="s">
        <v>22</v>
      </c>
      <c r="C17" s="14" t="s">
        <v>23</v>
      </c>
      <c r="D17" s="12"/>
    </row>
    <row r="18" ht="24" customHeight="1" spans="1:4" x14ac:dyDescent="0.25">
      <c r="A18" s="15" t="s">
        <v>38</v>
      </c>
      <c r="B18" s="15"/>
      <c r="C18" s="15"/>
      <c r="D18" s="16">
        <f>SUM(D13:D17)</f>
        <v>26700</v>
      </c>
    </row>
    <row r="19" ht="24" customHeight="1" spans="1:4" x14ac:dyDescent="0.25">
      <c r="A19" s="8" t="s">
        <v>39</v>
      </c>
      <c r="B19" s="8"/>
      <c r="C19" s="8"/>
      <c r="D19" s="8"/>
    </row>
    <row r="20" ht="22" customHeight="1" spans="1:4" x14ac:dyDescent="0.25">
      <c r="A20" s="9" t="s">
        <v>40</v>
      </c>
      <c r="B20" s="10" t="s">
        <v>41</v>
      </c>
      <c r="C20" s="11" t="s">
        <v>42</v>
      </c>
      <c r="D20" s="12">
        <v>25000</v>
      </c>
    </row>
    <row r="21" ht="22" customHeight="1" spans="1:4" x14ac:dyDescent="0.25">
      <c r="A21" s="9" t="s">
        <v>43</v>
      </c>
      <c r="B21" s="10" t="s">
        <v>44</v>
      </c>
      <c r="C21" s="11" t="s">
        <v>42</v>
      </c>
      <c r="D21" s="12">
        <v>18000</v>
      </c>
    </row>
    <row r="22" ht="22" customHeight="1" spans="1:4" x14ac:dyDescent="0.25">
      <c r="A22" s="9" t="s">
        <v>45</v>
      </c>
      <c r="B22" s="10" t="s">
        <v>46</v>
      </c>
      <c r="C22" s="11" t="s">
        <v>42</v>
      </c>
      <c r="D22" s="12">
        <v>7000</v>
      </c>
    </row>
    <row r="23" ht="22" customHeight="1" spans="1:4" x14ac:dyDescent="0.25">
      <c r="A23" s="9" t="s">
        <v>47</v>
      </c>
      <c r="B23" s="10" t="s">
        <v>48</v>
      </c>
      <c r="C23" s="11" t="s">
        <v>42</v>
      </c>
      <c r="D23" s="12">
        <v>10000</v>
      </c>
    </row>
    <row r="24" ht="22" customHeight="1" spans="1:4" x14ac:dyDescent="0.25">
      <c r="A24" s="9" t="s">
        <v>49</v>
      </c>
      <c r="B24" s="10" t="s">
        <v>50</v>
      </c>
      <c r="C24" s="11" t="s">
        <v>51</v>
      </c>
      <c r="D24" s="12">
        <v>50000</v>
      </c>
    </row>
    <row r="25" ht="22" customHeight="1" spans="1:4" x14ac:dyDescent="0.25">
      <c r="A25" s="9" t="s">
        <v>52</v>
      </c>
      <c r="B25" s="13" t="s">
        <v>22</v>
      </c>
      <c r="C25" s="14" t="s">
        <v>23</v>
      </c>
      <c r="D25" s="12"/>
    </row>
    <row r="26" ht="24" customHeight="1" spans="1:4" x14ac:dyDescent="0.25">
      <c r="A26" s="15" t="s">
        <v>53</v>
      </c>
      <c r="B26" s="15"/>
      <c r="C26" s="15"/>
      <c r="D26" s="16">
        <f>SUM(D20:D25)</f>
        <v>110000</v>
      </c>
    </row>
    <row r="27" ht="26" customHeight="1" spans="1:4" x14ac:dyDescent="0.25">
      <c r="A27" s="17" t="s">
        <v>54</v>
      </c>
      <c r="B27" s="17"/>
      <c r="C27" s="17"/>
      <c r="D27" s="18">
        <f>D11+D18+D26</f>
        <v>349700</v>
      </c>
    </row>
    <row r="28" ht="20" customHeight="1" spans="1:4" x14ac:dyDescent="0.25">
      <c r="A28" s="19" t="s">
        <v>55</v>
      </c>
      <c r="B28" s="19"/>
      <c r="C28" s="19"/>
      <c r="D28" s="19"/>
    </row>
    <row r="29" ht="14" customHeight="1" x14ac:dyDescent="0.25"/>
    <row r="30" ht="28" customHeight="1" spans="1:4" x14ac:dyDescent="0.25">
      <c r="A30" s="20" t="s">
        <v>56</v>
      </c>
      <c r="B30" s="20"/>
      <c r="C30" s="20"/>
      <c r="D30" s="20"/>
    </row>
    <row r="31" ht="22" customHeight="1" spans="1:4" x14ac:dyDescent="0.25">
      <c r="A31" s="21" t="s">
        <v>57</v>
      </c>
      <c r="B31" s="21"/>
      <c r="C31" s="21"/>
      <c r="D31" s="22">
        <f>D27</f>
        <v>349700</v>
      </c>
    </row>
    <row r="32" ht="25" customHeight="1" spans="1:4" x14ac:dyDescent="0.25">
      <c r="A32" s="5" t="s">
        <v>4</v>
      </c>
      <c r="B32" s="6" t="s">
        <v>5</v>
      </c>
      <c r="C32" s="6" t="s">
        <v>6</v>
      </c>
      <c r="D32" s="7" t="s">
        <v>7</v>
      </c>
    </row>
    <row r="33" ht="24" customHeight="1" spans="1:4" x14ac:dyDescent="0.25">
      <c r="A33" s="8" t="s">
        <v>58</v>
      </c>
      <c r="B33" s="8"/>
      <c r="C33" s="8"/>
      <c r="D33" s="8"/>
    </row>
    <row r="34" ht="22" customHeight="1" spans="1:4" x14ac:dyDescent="0.25">
      <c r="A34" s="9" t="s">
        <v>59</v>
      </c>
      <c r="B34" s="10" t="s">
        <v>60</v>
      </c>
      <c r="C34" s="11" t="s">
        <v>61</v>
      </c>
      <c r="D34" s="12">
        <v>14000</v>
      </c>
    </row>
    <row r="35" ht="22" customHeight="1" spans="1:4" x14ac:dyDescent="0.25">
      <c r="A35" s="9" t="s">
        <v>62</v>
      </c>
      <c r="B35" s="10" t="s">
        <v>63</v>
      </c>
      <c r="C35" s="11" t="s">
        <v>64</v>
      </c>
      <c r="D35" s="12">
        <v>5000</v>
      </c>
    </row>
    <row r="36" ht="22" customHeight="1" spans="1:4" x14ac:dyDescent="0.25">
      <c r="A36" s="9" t="s">
        <v>65</v>
      </c>
      <c r="B36" s="10" t="s">
        <v>66</v>
      </c>
      <c r="C36" s="11" t="s">
        <v>67</v>
      </c>
      <c r="D36" s="12">
        <v>6000</v>
      </c>
    </row>
    <row r="37" ht="22" customHeight="1" spans="1:4" x14ac:dyDescent="0.25">
      <c r="A37" s="9" t="s">
        <v>68</v>
      </c>
      <c r="B37" s="10" t="s">
        <v>69</v>
      </c>
      <c r="C37" s="11" t="s">
        <v>67</v>
      </c>
      <c r="D37" s="12">
        <v>6500</v>
      </c>
    </row>
    <row r="38" ht="22" customHeight="1" spans="1:4" x14ac:dyDescent="0.25">
      <c r="A38" s="9" t="s">
        <v>70</v>
      </c>
      <c r="B38" s="10" t="s">
        <v>71</v>
      </c>
      <c r="C38" s="11" t="s">
        <v>72</v>
      </c>
      <c r="D38" s="12">
        <v>5000</v>
      </c>
    </row>
    <row r="39" ht="22" customHeight="1" spans="1:4" x14ac:dyDescent="0.25">
      <c r="A39" s="9" t="s">
        <v>73</v>
      </c>
      <c r="B39" s="10" t="s">
        <v>74</v>
      </c>
      <c r="C39" s="11" t="s">
        <v>75</v>
      </c>
      <c r="D39" s="12">
        <v>2500</v>
      </c>
    </row>
    <row r="40" ht="22" customHeight="1" spans="1:4" x14ac:dyDescent="0.25">
      <c r="A40" s="9" t="s">
        <v>76</v>
      </c>
      <c r="B40" s="10" t="s">
        <v>77</v>
      </c>
      <c r="C40" s="11" t="s">
        <v>78</v>
      </c>
      <c r="D40" s="12">
        <v>2200</v>
      </c>
    </row>
    <row r="41" ht="22" customHeight="1" spans="1:4" x14ac:dyDescent="0.25">
      <c r="A41" s="9" t="s">
        <v>79</v>
      </c>
      <c r="B41" s="10" t="s">
        <v>80</v>
      </c>
      <c r="C41" s="11" t="s">
        <v>81</v>
      </c>
      <c r="D41" s="12">
        <v>30000</v>
      </c>
    </row>
    <row r="42" ht="22" customHeight="1" spans="1:4" x14ac:dyDescent="0.25">
      <c r="A42" s="9" t="s">
        <v>82</v>
      </c>
      <c r="B42" s="10" t="s">
        <v>83</v>
      </c>
      <c r="C42" s="11" t="s">
        <v>84</v>
      </c>
      <c r="D42" s="12">
        <v>1400</v>
      </c>
    </row>
    <row r="43" ht="22" customHeight="1" spans="1:4" x14ac:dyDescent="0.25">
      <c r="A43" s="9" t="s">
        <v>85</v>
      </c>
      <c r="B43" s="10" t="s">
        <v>86</v>
      </c>
      <c r="C43" s="11" t="s">
        <v>87</v>
      </c>
      <c r="D43" s="12">
        <v>3000</v>
      </c>
    </row>
    <row r="44" ht="22" customHeight="1" spans="1:4" x14ac:dyDescent="0.25">
      <c r="A44" s="9" t="s">
        <v>88</v>
      </c>
      <c r="B44" s="13" t="s">
        <v>22</v>
      </c>
      <c r="C44" s="14" t="s">
        <v>23</v>
      </c>
      <c r="D44" s="12"/>
    </row>
    <row r="45" ht="24" customHeight="1" spans="1:4" x14ac:dyDescent="0.25">
      <c r="A45" s="15" t="s">
        <v>89</v>
      </c>
      <c r="B45" s="15"/>
      <c r="C45" s="15"/>
      <c r="D45" s="16">
        <f>SUM(D34:D44)</f>
        <v>75600</v>
      </c>
    </row>
    <row r="46" ht="24" customHeight="1" spans="1:4" x14ac:dyDescent="0.25">
      <c r="A46" s="8" t="s">
        <v>90</v>
      </c>
      <c r="B46" s="8"/>
      <c r="C46" s="8"/>
      <c r="D46" s="8"/>
    </row>
    <row r="47" ht="22" customHeight="1" spans="1:4" x14ac:dyDescent="0.25">
      <c r="A47" s="9" t="s">
        <v>91</v>
      </c>
      <c r="B47" s="10" t="s">
        <v>92</v>
      </c>
      <c r="C47" s="11" t="s">
        <v>93</v>
      </c>
      <c r="D47" s="12">
        <v>3000</v>
      </c>
    </row>
    <row r="48" ht="22" customHeight="1" spans="1:4" x14ac:dyDescent="0.25">
      <c r="A48" s="9" t="s">
        <v>94</v>
      </c>
      <c r="B48" s="10" t="s">
        <v>95</v>
      </c>
      <c r="C48" s="11" t="s">
        <v>96</v>
      </c>
      <c r="D48" s="12">
        <v>1400</v>
      </c>
    </row>
    <row r="49" ht="22" customHeight="1" spans="1:4" x14ac:dyDescent="0.25">
      <c r="A49" s="9" t="s">
        <v>97</v>
      </c>
      <c r="B49" s="10" t="s">
        <v>98</v>
      </c>
      <c r="C49" s="11" t="s">
        <v>99</v>
      </c>
      <c r="D49" s="12">
        <v>1200</v>
      </c>
    </row>
    <row r="50" ht="22" customHeight="1" spans="1:4" x14ac:dyDescent="0.25">
      <c r="A50" s="9" t="s">
        <v>100</v>
      </c>
      <c r="B50" s="10" t="s">
        <v>101</v>
      </c>
      <c r="C50" s="11" t="s">
        <v>102</v>
      </c>
      <c r="D50" s="12">
        <v>6300</v>
      </c>
    </row>
    <row r="51" ht="22" customHeight="1" spans="1:4" x14ac:dyDescent="0.25">
      <c r="A51" s="9" t="s">
        <v>103</v>
      </c>
      <c r="B51" s="13" t="s">
        <v>22</v>
      </c>
      <c r="C51" s="14" t="s">
        <v>23</v>
      </c>
      <c r="D51" s="12"/>
    </row>
    <row r="52" ht="24" customHeight="1" spans="1:4" x14ac:dyDescent="0.25">
      <c r="A52" s="15" t="s">
        <v>104</v>
      </c>
      <c r="B52" s="15"/>
      <c r="C52" s="15"/>
      <c r="D52" s="16">
        <f>SUM(D47:D51)</f>
        <v>11900</v>
      </c>
    </row>
    <row r="53" ht="24" customHeight="1" spans="1:4" x14ac:dyDescent="0.25">
      <c r="A53" s="8" t="s">
        <v>105</v>
      </c>
      <c r="B53" s="8"/>
      <c r="C53" s="8"/>
      <c r="D53" s="8"/>
    </row>
    <row r="54" ht="22" customHeight="1" spans="1:4" x14ac:dyDescent="0.25">
      <c r="A54" s="9" t="s">
        <v>106</v>
      </c>
      <c r="B54" s="10" t="s">
        <v>107</v>
      </c>
      <c r="C54" s="11" t="s">
        <v>108</v>
      </c>
      <c r="D54" s="12">
        <v>5000</v>
      </c>
    </row>
    <row r="55" ht="22" customHeight="1" spans="1:4" x14ac:dyDescent="0.25">
      <c r="A55" s="9" t="s">
        <v>109</v>
      </c>
      <c r="B55" s="10" t="s">
        <v>110</v>
      </c>
      <c r="C55" s="11" t="s">
        <v>108</v>
      </c>
      <c r="D55" s="12">
        <v>5000</v>
      </c>
    </row>
    <row r="56" ht="22" customHeight="1" spans="1:4" x14ac:dyDescent="0.25">
      <c r="A56" s="9" t="s">
        <v>111</v>
      </c>
      <c r="B56" s="10" t="s">
        <v>112</v>
      </c>
      <c r="C56" s="11" t="s">
        <v>113</v>
      </c>
      <c r="D56" s="12">
        <v>20000</v>
      </c>
    </row>
    <row r="57" ht="22" customHeight="1" spans="1:4" x14ac:dyDescent="0.25">
      <c r="A57" s="9" t="s">
        <v>114</v>
      </c>
      <c r="B57" s="10" t="s">
        <v>115</v>
      </c>
      <c r="C57" s="11" t="s">
        <v>116</v>
      </c>
      <c r="D57" s="12">
        <v>17500</v>
      </c>
    </row>
    <row r="58" ht="22" customHeight="1" spans="1:4" x14ac:dyDescent="0.25">
      <c r="A58" s="9" t="s">
        <v>117</v>
      </c>
      <c r="B58" s="13" t="s">
        <v>22</v>
      </c>
      <c r="C58" s="14" t="s">
        <v>23</v>
      </c>
      <c r="D58" s="12"/>
    </row>
    <row r="59" ht="24" customHeight="1" spans="1:4" x14ac:dyDescent="0.25">
      <c r="A59" s="15" t="s">
        <v>118</v>
      </c>
      <c r="B59" s="15"/>
      <c r="C59" s="15"/>
      <c r="D59" s="16">
        <f>SUM(D54:D58)</f>
        <v>47500</v>
      </c>
    </row>
    <row r="60" ht="25" customHeight="1" spans="1:4" x14ac:dyDescent="0.25">
      <c r="A60" s="23" t="s">
        <v>119</v>
      </c>
      <c r="B60" s="23"/>
      <c r="C60" s="23"/>
      <c r="D60" s="24">
        <f>D45+D52+D59</f>
        <v>135000</v>
      </c>
    </row>
    <row r="61" ht="32" customHeight="1" spans="1:4" x14ac:dyDescent="0.25">
      <c r="A61" s="25" t="s">
        <v>120</v>
      </c>
      <c r="B61" s="25"/>
      <c r="C61" s="25"/>
      <c r="D61" s="26">
        <f>D27+D60</f>
        <v>484700</v>
      </c>
    </row>
    <row r="62" ht="25" customHeight="1" spans="1:4" x14ac:dyDescent="0.25">
      <c r="A62" s="27" t="s">
        <v>121</v>
      </c>
      <c r="B62" s="27"/>
      <c r="C62" s="27"/>
      <c r="D62" s="27"/>
    </row>
    <row r="65" spans="2:4" x14ac:dyDescent="0.25">
      <c r="B65" s="28" t="s">
        <v>122</v>
      </c>
      <c r="D65" s="28" t="s">
        <v>122</v>
      </c>
    </row>
    <row r="66" spans="2:4" x14ac:dyDescent="0.25">
      <c r="B66" s="29" t="s">
        <v>123</v>
      </c>
      <c r="D66" s="29" t="s">
        <v>124</v>
      </c>
    </row>
  </sheetData>
  <mergeCells count="23">
    <mergeCell ref="A1:D1"/>
    <mergeCell ref="A2:D2"/>
    <mergeCell ref="A3:B3"/>
    <mergeCell ref="C3:D3"/>
    <mergeCell ref="A5:D5"/>
    <mergeCell ref="A11:C11"/>
    <mergeCell ref="A12:D12"/>
    <mergeCell ref="A18:C18"/>
    <mergeCell ref="A19:D19"/>
    <mergeCell ref="A26:C26"/>
    <mergeCell ref="A27:C27"/>
    <mergeCell ref="A28:D28"/>
    <mergeCell ref="A30:D30"/>
    <mergeCell ref="A31:C31"/>
    <mergeCell ref="A33:D33"/>
    <mergeCell ref="A45:C45"/>
    <mergeCell ref="A46:D46"/>
    <mergeCell ref="A52:C52"/>
    <mergeCell ref="A53:D53"/>
    <mergeCell ref="A59:C59"/>
    <mergeCell ref="A60:C60"/>
    <mergeCell ref="A61:C61"/>
    <mergeCell ref="A62:D62"/>
  </mergeCells>
  <pageMargins left="0.45" right="0.45" top="0.45" bottom="0.45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মাসিক খরচ ও বেতন বিবরণী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MOTORS ERP</dc:creator>
  <dc:title/>
  <dc:subject/>
  <dc:description/>
  <cp:keywords/>
  <cp:category/>
  <cp:lastModifiedBy>Unknown</cp:lastModifiedBy>
  <dcterms:created xsi:type="dcterms:W3CDTF">2026-10-13T11:27:15Z</dcterms:created>
  <dcterms:modified xsi:type="dcterms:W3CDTF">2026-10-13T11:27:15Z</dcterms:modified>
</cp:coreProperties>
</file>